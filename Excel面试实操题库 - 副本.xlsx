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表_原始" sheetId="1" state="visible" r:id="rId1"/>
    <sheet xmlns:r="http://schemas.openxmlformats.org/officeDocument/2006/relationships" name="客户信息表" sheetId="2" state="visible" r:id="rId2"/>
    <sheet xmlns:r="http://schemas.openxmlformats.org/officeDocument/2006/relationships" name="产品信息表" sheetId="3" state="visible" r:id="rId3"/>
    <sheet xmlns:r="http://schemas.openxmlformats.org/officeDocument/2006/relationships" name="折扣阶梯" sheetId="4" state="visible" r:id="rId4"/>
    <sheet xmlns:r="http://schemas.openxmlformats.org/officeDocument/2006/relationships" name="销售目标" sheetId="5" state="visible" r:id="rId5"/>
    <sheet xmlns:r="http://schemas.openxmlformats.org/officeDocument/2006/relationships" name="面试题目" sheetId="6" state="visible" r:id="rId6"/>
    <sheet xmlns:r="http://schemas.openxmlformats.org/officeDocument/2006/relationships" name="参考答案" sheetId="7" state="visible" r:id="rId7"/>
  </sheets>
  <definedNames>
    <definedName name="_xlnm._FilterDatabase" localSheetId="0" hidden="1">'订单表_原始'!$A$3:$L$211</definedName>
    <definedName name="_xlnm._FilterDatabase" localSheetId="1" hidden="1">'客户信息表'!$A$3:$H$23</definedName>
    <definedName name="_xlnm._FilterDatabase" localSheetId="2" hidden="1">'产品信息表'!$A$3:$F$15</definedName>
    <definedName name="_xlnm._FilterDatabase" localSheetId="3" hidden="1">'折扣阶梯'!$A$3:$C$7</definedName>
    <definedName name="_xlnm._FilterDatabase" localSheetId="4" hidden="1">'销售目标'!$A$3:$J$8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¥#,##0.00"/>
    <numFmt numFmtId="166" formatCode="¥#,##0"/>
  </numFmts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7F7F7F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color rgb="00000000"/>
      <sz val="10"/>
    </font>
    <font>
      <name val="微软雅黑"/>
      <color rgb="00ED7D3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5" fillId="4" borderId="2" pivotButton="0" quotePrefix="0" xfId="0"/>
    <xf numFmtId="166" fontId="5" fillId="4" borderId="2" applyAlignment="1" pivotButton="0" quotePrefix="0" xfId="0">
      <alignment horizontal="right"/>
    </xf>
    <xf numFmtId="0" fontId="6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20" customWidth="1" min="4" max="4"/>
    <col width="9" customWidth="1" min="5" max="5"/>
    <col width="9" customWidth="1" min="6" max="6"/>
    <col width="10" customWidth="1" min="7" max="7"/>
    <col width="26" customWidth="1" min="8" max="8"/>
    <col width="12" customWidth="1" min="9" max="9"/>
    <col width="8" customWidth="1" min="10" max="10"/>
    <col width="14" customWidth="1" min="11" max="11"/>
    <col width="10" customWidth="1" min="12" max="12"/>
  </cols>
  <sheetData>
    <row r="1" ht="30" customHeight="1">
      <c r="A1" s="1" t="inlineStr">
        <is>
          <t>面试模拟 · 订单原始数据（208行，含数据质量问题）</t>
        </is>
      </c>
    </row>
    <row r="2">
      <c r="A2" s="2" t="inlineStr">
        <is>
          <t>原始导出数据：含重复行、同编号冲突、文本型日期/数字、文本金额、区域名称不统一、金额与单价×数量不符等问题。请先整表复制为「订单表_清洗」再操作。</t>
        </is>
      </c>
    </row>
    <row r="3" ht="24" customHeight="1">
      <c r="A3" s="3" t="inlineStr">
        <is>
          <t>订单编号</t>
        </is>
      </c>
      <c r="B3" s="3" t="inlineStr">
        <is>
          <t>下单日期</t>
        </is>
      </c>
      <c r="C3" s="3" t="inlineStr">
        <is>
          <t>客户ID</t>
        </is>
      </c>
      <c r="D3" s="3" t="inlineStr">
        <is>
          <t>客户名称</t>
        </is>
      </c>
      <c r="E3" s="3" t="inlineStr">
        <is>
          <t>销售员</t>
        </is>
      </c>
      <c r="F3" s="3" t="inlineStr">
        <is>
          <t>区域</t>
        </is>
      </c>
      <c r="G3" s="3" t="inlineStr">
        <is>
          <t>产品编码</t>
        </is>
      </c>
      <c r="H3" s="3" t="inlineStr">
        <is>
          <t>产品名称</t>
        </is>
      </c>
      <c r="I3" s="3" t="inlineStr">
        <is>
          <t>单价(元)</t>
        </is>
      </c>
      <c r="J3" s="3" t="inlineStr">
        <is>
          <t>数量</t>
        </is>
      </c>
      <c r="K3" s="3" t="inlineStr">
        <is>
          <t>金额(元)</t>
        </is>
      </c>
      <c r="L3" s="3" t="inlineStr">
        <is>
          <t>订单状态</t>
        </is>
      </c>
    </row>
    <row r="4">
      <c r="A4" s="4" t="inlineStr">
        <is>
          <t>DD-20260101-0001</t>
        </is>
      </c>
      <c r="B4" s="5" t="n">
        <v>46023</v>
      </c>
      <c r="C4" s="4" t="inlineStr">
        <is>
          <t>KH003</t>
        </is>
      </c>
      <c r="D4" s="6" t="inlineStr">
        <is>
          <t>广州启航教育</t>
        </is>
      </c>
      <c r="E4" s="4" t="inlineStr">
        <is>
          <t>孙悦</t>
        </is>
      </c>
      <c r="F4" s="4" t="inlineStr">
        <is>
          <t xml:space="preserve"> 华南</t>
        </is>
      </c>
      <c r="G4" s="4" t="inlineStr">
        <is>
          <t>CP011</t>
        </is>
      </c>
      <c r="H4" s="6" t="inlineStr">
        <is>
          <t>办公软件年费授权</t>
        </is>
      </c>
      <c r="I4" s="7" t="n">
        <v>699</v>
      </c>
      <c r="J4" s="4" t="n"/>
      <c r="K4" s="7" t="n">
        <v>7689</v>
      </c>
      <c r="L4" s="4" t="inlineStr">
        <is>
          <t>已取消</t>
        </is>
      </c>
    </row>
    <row r="5">
      <c r="A5" s="8" t="inlineStr">
        <is>
          <t>DD-20260103-0002</t>
        </is>
      </c>
      <c r="B5" s="9" t="n">
        <v>46025</v>
      </c>
      <c r="C5" s="8" t="inlineStr">
        <is>
          <t>KH002</t>
        </is>
      </c>
      <c r="D5" s="10" t="inlineStr">
        <is>
          <t>上海锦程贸易</t>
        </is>
      </c>
      <c r="E5" s="8" t="inlineStr">
        <is>
          <t>李娜</t>
        </is>
      </c>
      <c r="F5" s="8" t="inlineStr">
        <is>
          <t>华东</t>
        </is>
      </c>
      <c r="G5" s="8" t="inlineStr">
        <is>
          <t>CP007</t>
        </is>
      </c>
      <c r="H5" s="10" t="inlineStr">
        <is>
          <t>无线键鼠套装 KeyFree 2.0</t>
        </is>
      </c>
      <c r="I5" s="11" t="n">
        <v>299</v>
      </c>
      <c r="J5" s="8" t="n">
        <v>9</v>
      </c>
      <c r="K5" s="11" t="n">
        <v>2691</v>
      </c>
      <c r="L5" s="8" t="inlineStr">
        <is>
          <t>已发货</t>
        </is>
      </c>
    </row>
    <row r="6">
      <c r="A6" s="4" t="inlineStr">
        <is>
          <t>DD-20260103-0003</t>
        </is>
      </c>
      <c r="B6" s="5" t="n">
        <v>46025</v>
      </c>
      <c r="C6" s="4" t="inlineStr">
        <is>
          <t>KH003</t>
        </is>
      </c>
      <c r="D6" s="6" t="inlineStr">
        <is>
          <t>广州启航教育</t>
        </is>
      </c>
      <c r="E6" s="4" t="inlineStr">
        <is>
          <t>陈静</t>
        </is>
      </c>
      <c r="F6" s="4" t="inlineStr">
        <is>
          <t>华南</t>
        </is>
      </c>
      <c r="G6" s="4" t="inlineStr">
        <is>
          <t>CP003</t>
        </is>
      </c>
      <c r="H6" s="6" t="inlineStr">
        <is>
          <t>碎纸机 SafeCut S8</t>
        </is>
      </c>
      <c r="I6" s="7" t="n">
        <v>899</v>
      </c>
      <c r="J6" s="4" t="inlineStr">
        <is>
          <t>1</t>
        </is>
      </c>
      <c r="K6" s="7" t="n">
        <v>899</v>
      </c>
      <c r="L6" s="4" t="inlineStr">
        <is>
          <t>已发货</t>
        </is>
      </c>
    </row>
    <row r="7">
      <c r="A7" s="8" t="inlineStr">
        <is>
          <t>DD-20260107-0004</t>
        </is>
      </c>
      <c r="B7" s="8" t="inlineStr">
        <is>
          <t>2026年1月7日</t>
        </is>
      </c>
      <c r="C7" s="8" t="inlineStr">
        <is>
          <t>KH012</t>
        </is>
      </c>
      <c r="D7" s="10" t="inlineStr">
        <is>
          <t>长沙麓山科技</t>
        </is>
      </c>
      <c r="E7" s="8" t="inlineStr">
        <is>
          <t>孙悦</t>
        </is>
      </c>
      <c r="F7" s="8" t="inlineStr">
        <is>
          <t>华中区</t>
        </is>
      </c>
      <c r="G7" s="8" t="inlineStr">
        <is>
          <t>CP003</t>
        </is>
      </c>
      <c r="H7" s="10" t="inlineStr">
        <is>
          <t>碎纸机 SafeCut S8</t>
        </is>
      </c>
      <c r="I7" s="11" t="n">
        <v>899</v>
      </c>
      <c r="J7" s="8" t="n">
        <v>6</v>
      </c>
      <c r="K7" s="11" t="n">
        <v>5394</v>
      </c>
      <c r="L7" s="8" t="inlineStr">
        <is>
          <t>已发货</t>
        </is>
      </c>
    </row>
    <row r="8">
      <c r="A8" s="4" t="inlineStr">
        <is>
          <t>DD-20260107-0005</t>
        </is>
      </c>
      <c r="B8" s="5" t="n">
        <v>46029</v>
      </c>
      <c r="C8" s="4" t="inlineStr">
        <is>
          <t>KH019</t>
        </is>
      </c>
      <c r="D8" s="6" t="inlineStr">
        <is>
          <t>北京中关新材</t>
        </is>
      </c>
      <c r="E8" s="4" t="inlineStr">
        <is>
          <t>王强</t>
        </is>
      </c>
      <c r="F8" s="4" t="inlineStr">
        <is>
          <t>华北</t>
        </is>
      </c>
      <c r="G8" s="4" t="inlineStr">
        <is>
          <t>CP008</t>
        </is>
      </c>
      <c r="H8" s="6" t="inlineStr">
        <is>
          <t>A4复印纸（5包/箱）</t>
        </is>
      </c>
      <c r="I8" s="7" t="n">
        <v>128</v>
      </c>
      <c r="J8" s="4" t="n">
        <v>70</v>
      </c>
      <c r="K8" s="7" t="n">
        <v>8960</v>
      </c>
      <c r="L8" s="4" t="inlineStr">
        <is>
          <t>已取消</t>
        </is>
      </c>
    </row>
    <row r="9">
      <c r="A9" s="8" t="inlineStr">
        <is>
          <t>DD-20260109-0006</t>
        </is>
      </c>
      <c r="B9" s="9" t="n">
        <v>46031</v>
      </c>
      <c r="C9" s="8" t="inlineStr">
        <is>
          <t>KH017</t>
        </is>
      </c>
      <c r="D9" s="10" t="inlineStr">
        <is>
          <t>郑州中原物流</t>
        </is>
      </c>
      <c r="E9" s="8" t="inlineStr">
        <is>
          <t>赵磊</t>
        </is>
      </c>
      <c r="F9" s="8" t="inlineStr">
        <is>
          <t>华中</t>
        </is>
      </c>
      <c r="G9" s="8" t="inlineStr">
        <is>
          <t>CP008</t>
        </is>
      </c>
      <c r="H9" s="10" t="inlineStr">
        <is>
          <t>A4复印纸（5包/箱）</t>
        </is>
      </c>
      <c r="I9" s="11" t="n">
        <v>128</v>
      </c>
      <c r="J9" s="8" t="inlineStr">
        <is>
          <t>20</t>
        </is>
      </c>
      <c r="K9" s="11" t="n">
        <v>2560</v>
      </c>
      <c r="L9" s="8" t="inlineStr">
        <is>
          <t>已发货</t>
        </is>
      </c>
    </row>
    <row r="10">
      <c r="A10" s="4" t="inlineStr">
        <is>
          <t>DD-20260109-0007</t>
        </is>
      </c>
      <c r="B10" s="5" t="n">
        <v>46031</v>
      </c>
      <c r="C10" s="4" t="inlineStr">
        <is>
          <t>KH019</t>
        </is>
      </c>
      <c r="D10" s="6" t="inlineStr">
        <is>
          <t>北京中关新材</t>
        </is>
      </c>
      <c r="E10" s="4" t="inlineStr">
        <is>
          <t>陈静</t>
        </is>
      </c>
      <c r="F10" s="4" t="inlineStr">
        <is>
          <t>华北</t>
        </is>
      </c>
      <c r="G10" s="4" t="inlineStr">
        <is>
          <t>CP010</t>
        </is>
      </c>
      <c r="H10" s="6" t="inlineStr">
        <is>
          <t>签字笔盒装（12支）</t>
        </is>
      </c>
      <c r="I10" s="7" t="n">
        <v>45</v>
      </c>
      <c r="J10" s="4" t="n">
        <v>85</v>
      </c>
      <c r="K10" s="7" t="n">
        <v>3825</v>
      </c>
      <c r="L10" s="4" t="inlineStr">
        <is>
          <t>已完成</t>
        </is>
      </c>
    </row>
    <row r="11">
      <c r="A11" s="8" t="inlineStr">
        <is>
          <t>DD-20260113-0008</t>
        </is>
      </c>
      <c r="B11" s="9" t="n">
        <v>46035</v>
      </c>
      <c r="C11" s="8" t="inlineStr">
        <is>
          <t>KH007</t>
        </is>
      </c>
      <c r="D11" s="10" t="inlineStr">
        <is>
          <t>武汉长江实业</t>
        </is>
      </c>
      <c r="E11" s="8" t="inlineStr">
        <is>
          <t>赵磊</t>
        </is>
      </c>
      <c r="F11" s="8" t="inlineStr">
        <is>
          <t>华中</t>
        </is>
      </c>
      <c r="G11" s="8" t="inlineStr">
        <is>
          <t>CP003</t>
        </is>
      </c>
      <c r="H11" s="10" t="inlineStr">
        <is>
          <t>碎纸机 SafeCut S8</t>
        </is>
      </c>
      <c r="I11" s="11" t="n">
        <v>899</v>
      </c>
      <c r="J11" s="8" t="n">
        <v>4</v>
      </c>
      <c r="K11" s="11" t="n">
        <v>3596</v>
      </c>
      <c r="L11" s="8" t="inlineStr">
        <is>
          <t>已完成</t>
        </is>
      </c>
    </row>
    <row r="12">
      <c r="A12" s="4" t="inlineStr">
        <is>
          <t>DD-20260117-0009</t>
        </is>
      </c>
      <c r="B12" s="5" t="n">
        <v>46039</v>
      </c>
      <c r="C12" s="4" t="inlineStr">
        <is>
          <t>KH002</t>
        </is>
      </c>
      <c r="D12" s="6" t="inlineStr">
        <is>
          <t>上海锦程贸易</t>
        </is>
      </c>
      <c r="E12" s="4" t="inlineStr">
        <is>
          <t>杨帆</t>
        </is>
      </c>
      <c r="F12" s="4" t="inlineStr">
        <is>
          <t>华东</t>
        </is>
      </c>
      <c r="G12" s="4" t="inlineStr">
        <is>
          <t>CP011</t>
        </is>
      </c>
      <c r="H12" s="6" t="inlineStr">
        <is>
          <t>办公软件年费授权</t>
        </is>
      </c>
      <c r="I12" s="7" t="n">
        <v>699</v>
      </c>
      <c r="J12" s="4" t="n">
        <v>5</v>
      </c>
      <c r="K12" s="7" t="n">
        <v>3495</v>
      </c>
      <c r="L12" s="4" t="inlineStr">
        <is>
          <t>已发货</t>
        </is>
      </c>
    </row>
    <row r="13">
      <c r="A13" s="8" t="inlineStr">
        <is>
          <t>DD-20260120-0010</t>
        </is>
      </c>
      <c r="B13" s="9" t="n">
        <v>46042</v>
      </c>
      <c r="C13" s="8" t="inlineStr">
        <is>
          <t>KH019</t>
        </is>
      </c>
      <c r="D13" s="10" t="inlineStr">
        <is>
          <t>北京中关新材</t>
        </is>
      </c>
      <c r="E13" s="8" t="inlineStr">
        <is>
          <t>孙悦</t>
        </is>
      </c>
      <c r="F13" s="8" t="inlineStr">
        <is>
          <t>华北</t>
        </is>
      </c>
      <c r="G13" s="8" t="inlineStr">
        <is>
          <t>CP012</t>
        </is>
      </c>
      <c r="H13" s="10" t="inlineStr">
        <is>
          <t xml:space="preserve">云存储服务（1TB/年） </t>
        </is>
      </c>
      <c r="I13" s="11" t="n">
        <v>599</v>
      </c>
      <c r="J13" s="8" t="n">
        <v>3</v>
      </c>
      <c r="K13" s="11" t="n">
        <v>1797</v>
      </c>
      <c r="L13" s="8" t="inlineStr">
        <is>
          <t>已完成</t>
        </is>
      </c>
    </row>
    <row r="14">
      <c r="A14" s="4" t="inlineStr">
        <is>
          <t>DD-20260121-0011</t>
        </is>
      </c>
      <c r="B14" s="5" t="n">
        <v>46043</v>
      </c>
      <c r="C14" s="4" t="inlineStr">
        <is>
          <t>KH005</t>
        </is>
      </c>
      <c r="D14" s="6" t="inlineStr">
        <is>
          <t>杭州云图信息</t>
        </is>
      </c>
      <c r="E14" s="4" t="inlineStr">
        <is>
          <t>孙悦</t>
        </is>
      </c>
      <c r="F14" s="4" t="inlineStr">
        <is>
          <t>华东</t>
        </is>
      </c>
      <c r="G14" s="4" t="inlineStr">
        <is>
          <t>CP006</t>
        </is>
      </c>
      <c r="H14" s="6" t="inlineStr">
        <is>
          <t>显示器 ViewMax 27</t>
        </is>
      </c>
      <c r="I14" s="7" t="n">
        <v>1299</v>
      </c>
      <c r="J14" s="4" t="n">
        <v>2</v>
      </c>
      <c r="K14" s="7" t="n">
        <v>2598</v>
      </c>
      <c r="L14" s="4" t="inlineStr">
        <is>
          <t>已取消</t>
        </is>
      </c>
    </row>
    <row r="15">
      <c r="A15" s="8" t="inlineStr">
        <is>
          <t>DD-20260123-0012</t>
        </is>
      </c>
      <c r="B15" s="9" t="n">
        <v>46045</v>
      </c>
      <c r="C15" s="8" t="inlineStr">
        <is>
          <t>KH011</t>
        </is>
      </c>
      <c r="D15" s="10" t="inlineStr">
        <is>
          <t>重庆山城办公设备</t>
        </is>
      </c>
      <c r="E15" s="8" t="inlineStr">
        <is>
          <t>刘洋</t>
        </is>
      </c>
      <c r="F15" s="8" t="inlineStr">
        <is>
          <t>西南</t>
        </is>
      </c>
      <c r="G15" s="8" t="inlineStr">
        <is>
          <t>CP011</t>
        </is>
      </c>
      <c r="H15" s="10" t="inlineStr">
        <is>
          <t>办公软件年费授权</t>
        </is>
      </c>
      <c r="I15" s="11" t="n">
        <v>699</v>
      </c>
      <c r="J15" s="8" t="inlineStr">
        <is>
          <t>11</t>
        </is>
      </c>
      <c r="K15" s="11" t="n">
        <v>7689</v>
      </c>
      <c r="L15" s="8" t="inlineStr">
        <is>
          <t>已完成</t>
        </is>
      </c>
    </row>
    <row r="16">
      <c r="A16" s="4" t="inlineStr">
        <is>
          <t>DD-20260124-0013</t>
        </is>
      </c>
      <c r="B16" s="5" t="n">
        <v>46046</v>
      </c>
      <c r="C16" s="4" t="inlineStr">
        <is>
          <t>KH006</t>
        </is>
      </c>
      <c r="D16" s="6" t="inlineStr">
        <is>
          <t>成都天府商贸</t>
        </is>
      </c>
      <c r="E16" s="4" t="inlineStr">
        <is>
          <t>李娜</t>
        </is>
      </c>
      <c r="F16" s="4" t="inlineStr">
        <is>
          <t>西南</t>
        </is>
      </c>
      <c r="G16" s="4" t="inlineStr">
        <is>
          <t>CP009</t>
        </is>
      </c>
      <c r="H16" s="6" t="inlineStr">
        <is>
          <t>激光硒鼓 TonerMax 12A</t>
        </is>
      </c>
      <c r="I16" s="7" t="n">
        <v>385</v>
      </c>
      <c r="J16" s="4" t="n">
        <v>96</v>
      </c>
      <c r="K16" s="12" t="inlineStr">
        <is>
          <t>¥36,960.00</t>
        </is>
      </c>
      <c r="L16" s="4" t="inlineStr">
        <is>
          <t>已完成</t>
        </is>
      </c>
    </row>
    <row r="17">
      <c r="A17" s="8" t="inlineStr">
        <is>
          <t>DD-20260125-0014</t>
        </is>
      </c>
      <c r="B17" s="9" t="n">
        <v>46047</v>
      </c>
      <c r="C17" s="8" t="inlineStr">
        <is>
          <t>KH001</t>
        </is>
      </c>
      <c r="D17" s="10" t="inlineStr">
        <is>
          <t>北京华信科技</t>
        </is>
      </c>
      <c r="E17" s="8" t="inlineStr">
        <is>
          <t>张伟</t>
        </is>
      </c>
      <c r="F17" s="8" t="inlineStr">
        <is>
          <t>华北</t>
        </is>
      </c>
      <c r="G17" s="8" t="inlineStr">
        <is>
          <t>CP009</t>
        </is>
      </c>
      <c r="H17" s="10" t="inlineStr">
        <is>
          <t>激光硒鼓 TonerMax 12A</t>
        </is>
      </c>
      <c r="I17" s="11" t="n">
        <v>385</v>
      </c>
      <c r="J17" s="8" t="inlineStr">
        <is>
          <t>32</t>
        </is>
      </c>
      <c r="K17" s="11" t="n">
        <v>12320</v>
      </c>
      <c r="L17" s="8" t="inlineStr">
        <is>
          <t>已发货</t>
        </is>
      </c>
    </row>
    <row r="18">
      <c r="A18" s="4" t="inlineStr">
        <is>
          <t>DD-20260126-0015</t>
        </is>
      </c>
      <c r="B18" s="5" t="n">
        <v>46048</v>
      </c>
      <c r="C18" s="4" t="inlineStr">
        <is>
          <t>KH019</t>
        </is>
      </c>
      <c r="D18" s="6" t="inlineStr">
        <is>
          <t>北京中关新材</t>
        </is>
      </c>
      <c r="E18" s="4" t="inlineStr">
        <is>
          <t>孙悦</t>
        </is>
      </c>
      <c r="F18" s="4" t="inlineStr">
        <is>
          <t>华北</t>
        </is>
      </c>
      <c r="G18" s="4" t="inlineStr">
        <is>
          <t>CP001</t>
        </is>
      </c>
      <c r="H18" s="6" t="inlineStr">
        <is>
          <t>激光打印机 ProLaser 200</t>
        </is>
      </c>
      <c r="I18" s="7" t="n">
        <v>2499</v>
      </c>
      <c r="J18" s="4" t="n"/>
      <c r="K18" s="7" t="n">
        <v>9996</v>
      </c>
      <c r="L18" s="4" t="inlineStr">
        <is>
          <t>已发货</t>
        </is>
      </c>
    </row>
    <row r="19">
      <c r="A19" s="8" t="inlineStr">
        <is>
          <t>DD-20260816-0196</t>
        </is>
      </c>
      <c r="B19" s="9" t="n">
        <v>46250</v>
      </c>
      <c r="C19" s="8" t="inlineStr">
        <is>
          <t>KH016</t>
        </is>
      </c>
      <c r="D19" s="10" t="inlineStr">
        <is>
          <t>昆明滇池科技</t>
        </is>
      </c>
      <c r="E19" s="8" t="inlineStr">
        <is>
          <t>赵磊</t>
        </is>
      </c>
      <c r="F19" s="8" t="inlineStr">
        <is>
          <t>西南区</t>
        </is>
      </c>
      <c r="G19" s="8" t="inlineStr">
        <is>
          <t>CP008</t>
        </is>
      </c>
      <c r="H19" s="10" t="inlineStr">
        <is>
          <t>A4复印纸（5包/箱）</t>
        </is>
      </c>
      <c r="I19" s="11" t="n">
        <v>128</v>
      </c>
      <c r="J19" s="8" t="n">
        <v>77</v>
      </c>
      <c r="K19" s="11" t="n">
        <v>9856</v>
      </c>
      <c r="L19" s="8" t="inlineStr">
        <is>
          <t>已完成</t>
        </is>
      </c>
    </row>
    <row r="20">
      <c r="A20" s="4" t="inlineStr">
        <is>
          <t>DD-20260126-0016</t>
        </is>
      </c>
      <c r="B20" s="5" t="n">
        <v>46048</v>
      </c>
      <c r="C20" s="4" t="inlineStr">
        <is>
          <t>KH017</t>
        </is>
      </c>
      <c r="D20" s="6" t="inlineStr">
        <is>
          <t>郑州中原物流</t>
        </is>
      </c>
      <c r="E20" s="4" t="inlineStr">
        <is>
          <t>王强</t>
        </is>
      </c>
      <c r="F20" s="4" t="inlineStr">
        <is>
          <t>华中区</t>
        </is>
      </c>
      <c r="G20" s="4" t="inlineStr">
        <is>
          <t>CP003</t>
        </is>
      </c>
      <c r="H20" s="6" t="inlineStr">
        <is>
          <t>碎纸机 SafeCut S8</t>
        </is>
      </c>
      <c r="I20" s="7" t="n">
        <v>899</v>
      </c>
      <c r="J20" s="4" t="n">
        <v>4</v>
      </c>
      <c r="K20" s="7" t="n">
        <v>3596</v>
      </c>
      <c r="L20" s="4" t="inlineStr">
        <is>
          <t>已完成</t>
        </is>
      </c>
    </row>
    <row r="21">
      <c r="A21" s="8" t="inlineStr">
        <is>
          <t>DD-20260127-0017</t>
        </is>
      </c>
      <c r="B21" s="9" t="n">
        <v>46049</v>
      </c>
      <c r="C21" s="8" t="inlineStr">
        <is>
          <t>KH017</t>
        </is>
      </c>
      <c r="D21" s="10" t="inlineStr">
        <is>
          <t>郑州中原物流</t>
        </is>
      </c>
      <c r="E21" s="8" t="inlineStr">
        <is>
          <t>赵磊</t>
        </is>
      </c>
      <c r="F21" s="8" t="inlineStr">
        <is>
          <t>华中</t>
        </is>
      </c>
      <c r="G21" s="8" t="inlineStr">
        <is>
          <t>CP007</t>
        </is>
      </c>
      <c r="H21" s="10" t="inlineStr">
        <is>
          <t>无线键鼠套装 KeyFree 2.0</t>
        </is>
      </c>
      <c r="I21" s="11" t="n">
        <v>299</v>
      </c>
      <c r="J21" s="8" t="n">
        <v>7</v>
      </c>
      <c r="K21" s="11" t="n">
        <v>2093</v>
      </c>
      <c r="L21" s="8" t="inlineStr">
        <is>
          <t>待付款</t>
        </is>
      </c>
    </row>
    <row r="22">
      <c r="A22" s="4" t="inlineStr">
        <is>
          <t>DD-20260127-0018</t>
        </is>
      </c>
      <c r="B22" s="5" t="n">
        <v>46049</v>
      </c>
      <c r="C22" s="4" t="inlineStr">
        <is>
          <t>KH007</t>
        </is>
      </c>
      <c r="D22" s="6" t="inlineStr">
        <is>
          <t>武汉长江实业</t>
        </is>
      </c>
      <c r="E22" s="4" t="inlineStr">
        <is>
          <t>陈静</t>
        </is>
      </c>
      <c r="F22" s="4" t="inlineStr">
        <is>
          <t>华中</t>
        </is>
      </c>
      <c r="G22" s="4" t="inlineStr">
        <is>
          <t>CP004</t>
        </is>
      </c>
      <c r="H22" s="6" t="inlineStr">
        <is>
          <t xml:space="preserve">笔记本电脑 TechBook 14 </t>
        </is>
      </c>
      <c r="I22" s="7" t="n">
        <v>5699</v>
      </c>
      <c r="J22" s="4" t="n">
        <v>3</v>
      </c>
      <c r="K22" s="7" t="n">
        <v>17097</v>
      </c>
      <c r="L22" s="4" t="inlineStr">
        <is>
          <t>已完成</t>
        </is>
      </c>
    </row>
    <row r="23">
      <c r="A23" s="8" t="inlineStr">
        <is>
          <t>DD-20260129-0019</t>
        </is>
      </c>
      <c r="B23" s="9" t="n">
        <v>46051</v>
      </c>
      <c r="C23" s="8" t="inlineStr">
        <is>
          <t>KH020</t>
        </is>
      </c>
      <c r="D23" s="10" t="inlineStr">
        <is>
          <t>合肥科大国创</t>
        </is>
      </c>
      <c r="E23" s="8" t="inlineStr">
        <is>
          <t>孙悦</t>
        </is>
      </c>
      <c r="F23" s="8" t="inlineStr">
        <is>
          <t>华东</t>
        </is>
      </c>
      <c r="G23" s="8" t="inlineStr">
        <is>
          <t>CP011</t>
        </is>
      </c>
      <c r="H23" s="10" t="inlineStr">
        <is>
          <t xml:space="preserve">办公软件年费授权 </t>
        </is>
      </c>
      <c r="I23" s="11" t="n">
        <v>699</v>
      </c>
      <c r="J23" s="8" t="n">
        <v>20</v>
      </c>
      <c r="K23" s="11" t="n">
        <v>13980</v>
      </c>
      <c r="L23" s="8" t="inlineStr">
        <is>
          <t>已完成</t>
        </is>
      </c>
    </row>
    <row r="24">
      <c r="A24" s="4" t="inlineStr">
        <is>
          <t>DD-20260130-0020</t>
        </is>
      </c>
      <c r="B24" s="5" t="n">
        <v>46052</v>
      </c>
      <c r="C24" s="4" t="inlineStr">
        <is>
          <t>KH010</t>
        </is>
      </c>
      <c r="D24" s="6" t="inlineStr">
        <is>
          <t>苏州创智科技</t>
        </is>
      </c>
      <c r="E24" s="4" t="inlineStr">
        <is>
          <t>陈静</t>
        </is>
      </c>
      <c r="F24" s="4" t="inlineStr">
        <is>
          <t>华东</t>
        </is>
      </c>
      <c r="G24" s="4" t="inlineStr">
        <is>
          <t>CP007</t>
        </is>
      </c>
      <c r="H24" s="6" t="inlineStr">
        <is>
          <t>无线键鼠套装 KeyFree 2.0</t>
        </is>
      </c>
      <c r="I24" s="7" t="n">
        <v>299</v>
      </c>
      <c r="J24" s="4" t="n">
        <v>9</v>
      </c>
      <c r="K24" s="12" t="inlineStr">
        <is>
          <t>¥2,691.00</t>
        </is>
      </c>
      <c r="L24" s="4" t="inlineStr">
        <is>
          <t>待付款</t>
        </is>
      </c>
    </row>
    <row r="25">
      <c r="A25" s="8" t="inlineStr">
        <is>
          <t>DD-20260131-0021</t>
        </is>
      </c>
      <c r="B25" s="9" t="n">
        <v>46053</v>
      </c>
      <c r="C25" s="8" t="inlineStr">
        <is>
          <t>KH017</t>
        </is>
      </c>
      <c r="D25" s="10" t="inlineStr">
        <is>
          <t>郑州中原物流</t>
        </is>
      </c>
      <c r="E25" s="8" t="inlineStr">
        <is>
          <t>孙悦</t>
        </is>
      </c>
      <c r="F25" s="8" t="inlineStr">
        <is>
          <t>华中</t>
        </is>
      </c>
      <c r="G25" s="8" t="inlineStr">
        <is>
          <t>CP004</t>
        </is>
      </c>
      <c r="H25" s="10" t="inlineStr">
        <is>
          <t>笔记本电脑 TechBook 14</t>
        </is>
      </c>
      <c r="I25" s="11" t="n">
        <v>5699</v>
      </c>
      <c r="J25" s="8" t="n">
        <v>2</v>
      </c>
      <c r="K25" s="11" t="n">
        <v>11398</v>
      </c>
      <c r="L25" s="8" t="inlineStr">
        <is>
          <t>已发货</t>
        </is>
      </c>
    </row>
    <row r="26">
      <c r="A26" s="4" t="inlineStr">
        <is>
          <t>DD-20260201-0022</t>
        </is>
      </c>
      <c r="B26" s="5" t="n">
        <v>46054</v>
      </c>
      <c r="C26" s="4" t="inlineStr">
        <is>
          <t>KH007</t>
        </is>
      </c>
      <c r="D26" s="6" t="inlineStr">
        <is>
          <t>武汉长江实业</t>
        </is>
      </c>
      <c r="E26" s="4" t="inlineStr">
        <is>
          <t>王强</t>
        </is>
      </c>
      <c r="F26" s="4" t="inlineStr">
        <is>
          <t>华中</t>
        </is>
      </c>
      <c r="G26" s="4" t="inlineStr">
        <is>
          <t>CP010</t>
        </is>
      </c>
      <c r="H26" s="6" t="inlineStr">
        <is>
          <t>签字笔盒装（12支）</t>
        </is>
      </c>
      <c r="I26" s="7" t="n">
        <v>45</v>
      </c>
      <c r="J26" s="4" t="n">
        <v>118</v>
      </c>
      <c r="K26" s="7" t="n">
        <v>5310</v>
      </c>
      <c r="L26" s="4" t="inlineStr">
        <is>
          <t>已取消</t>
        </is>
      </c>
    </row>
    <row r="27">
      <c r="A27" s="8" t="inlineStr">
        <is>
          <t>DD-20260203-0023</t>
        </is>
      </c>
      <c r="B27" s="9" t="n">
        <v>46056</v>
      </c>
      <c r="C27" s="8" t="inlineStr">
        <is>
          <t>KH006</t>
        </is>
      </c>
      <c r="D27" s="10" t="inlineStr">
        <is>
          <t>成都天府商贸</t>
        </is>
      </c>
      <c r="E27" s="8" t="inlineStr">
        <is>
          <t>李娜</t>
        </is>
      </c>
      <c r="F27" s="8" t="inlineStr">
        <is>
          <t>西南</t>
        </is>
      </c>
      <c r="G27" s="8" t="inlineStr">
        <is>
          <t>CP003</t>
        </is>
      </c>
      <c r="H27" s="10" t="inlineStr">
        <is>
          <t>碎纸机 SafeCut S8</t>
        </is>
      </c>
      <c r="I27" s="11" t="n">
        <v>899</v>
      </c>
      <c r="J27" s="8" t="n">
        <v>4</v>
      </c>
      <c r="K27" s="11" t="n">
        <v>3596</v>
      </c>
      <c r="L27" s="8" t="inlineStr">
        <is>
          <t>已发货</t>
        </is>
      </c>
    </row>
    <row r="28">
      <c r="A28" s="4" t="inlineStr">
        <is>
          <t>DD-20260206-0024</t>
        </is>
      </c>
      <c r="B28" s="5" t="n">
        <v>46059</v>
      </c>
      <c r="C28" s="4" t="inlineStr">
        <is>
          <t>KH005</t>
        </is>
      </c>
      <c r="D28" s="6" t="inlineStr">
        <is>
          <t>杭州云图信息</t>
        </is>
      </c>
      <c r="E28" s="4" t="inlineStr">
        <is>
          <t>刘洋</t>
        </is>
      </c>
      <c r="F28" s="4" t="inlineStr">
        <is>
          <t>华东</t>
        </is>
      </c>
      <c r="G28" s="4" t="inlineStr">
        <is>
          <t>CP010</t>
        </is>
      </c>
      <c r="H28" s="6" t="inlineStr">
        <is>
          <t>签字笔盒装（12支）</t>
        </is>
      </c>
      <c r="I28" s="7" t="n">
        <v>45</v>
      </c>
      <c r="J28" s="4" t="n">
        <v>103</v>
      </c>
      <c r="K28" s="7" t="n">
        <v>4635</v>
      </c>
      <c r="L28" s="4" t="inlineStr">
        <is>
          <t>已完成</t>
        </is>
      </c>
    </row>
    <row r="29">
      <c r="A29" s="8" t="inlineStr">
        <is>
          <t>DD-20260703-0152</t>
        </is>
      </c>
      <c r="B29" s="9" t="n">
        <v>46206</v>
      </c>
      <c r="C29" s="8" t="inlineStr">
        <is>
          <t>KH009</t>
        </is>
      </c>
      <c r="D29" s="10" t="inlineStr">
        <is>
          <t>天津海河传媒</t>
        </is>
      </c>
      <c r="E29" s="8" t="inlineStr">
        <is>
          <t>杨帆</t>
        </is>
      </c>
      <c r="F29" s="8" t="inlineStr">
        <is>
          <t>华北区</t>
        </is>
      </c>
      <c r="G29" s="8" t="inlineStr">
        <is>
          <t>CP009</t>
        </is>
      </c>
      <c r="H29" s="10" t="inlineStr">
        <is>
          <t>激光硒鼓 TonerMax 12A</t>
        </is>
      </c>
      <c r="I29" s="11" t="n">
        <v>385</v>
      </c>
      <c r="J29" s="8" t="n">
        <v>97</v>
      </c>
      <c r="K29" s="11" t="n">
        <v>37345</v>
      </c>
      <c r="L29" s="8" t="inlineStr">
        <is>
          <t>已完成</t>
        </is>
      </c>
    </row>
    <row r="30">
      <c r="A30" s="4" t="inlineStr">
        <is>
          <t>DD-20260206-0025</t>
        </is>
      </c>
      <c r="B30" s="5" t="n">
        <v>46059</v>
      </c>
      <c r="C30" s="4" t="inlineStr">
        <is>
          <t>KH011</t>
        </is>
      </c>
      <c r="D30" s="6" t="inlineStr">
        <is>
          <t>重庆山城办公设备</t>
        </is>
      </c>
      <c r="E30" s="4" t="inlineStr">
        <is>
          <t>李娜</t>
        </is>
      </c>
      <c r="F30" s="4" t="inlineStr">
        <is>
          <t>西南</t>
        </is>
      </c>
      <c r="G30" s="4" t="inlineStr">
        <is>
          <t>CP009</t>
        </is>
      </c>
      <c r="H30" s="6" t="inlineStr">
        <is>
          <t>激光硒鼓 TonerMax 12A</t>
        </is>
      </c>
      <c r="I30" s="7" t="n">
        <v>385</v>
      </c>
      <c r="J30" s="4" t="n">
        <v>26</v>
      </c>
      <c r="K30" s="7" t="n">
        <v>10010</v>
      </c>
      <c r="L30" s="4" t="inlineStr">
        <is>
          <t>待付款</t>
        </is>
      </c>
    </row>
    <row r="31">
      <c r="A31" s="8" t="inlineStr">
        <is>
          <t>DD-20260208-0026</t>
        </is>
      </c>
      <c r="B31" s="9" t="n">
        <v>46061</v>
      </c>
      <c r="C31" s="8" t="inlineStr">
        <is>
          <t>KH002</t>
        </is>
      </c>
      <c r="D31" s="10" t="inlineStr">
        <is>
          <t>上海锦程贸易</t>
        </is>
      </c>
      <c r="E31" s="8" t="inlineStr">
        <is>
          <t>张伟</t>
        </is>
      </c>
      <c r="F31" s="8" t="inlineStr">
        <is>
          <t>华东</t>
        </is>
      </c>
      <c r="G31" s="8" t="inlineStr">
        <is>
          <t>CP007</t>
        </is>
      </c>
      <c r="H31" s="10" t="inlineStr">
        <is>
          <t>无线键鼠套装 KeyFree 2.0</t>
        </is>
      </c>
      <c r="I31" s="11" t="n">
        <v>299</v>
      </c>
      <c r="J31" s="8" t="n">
        <v>2</v>
      </c>
      <c r="K31" s="11" t="n">
        <v>598</v>
      </c>
      <c r="L31" s="8" t="inlineStr">
        <is>
          <t>已发货</t>
        </is>
      </c>
    </row>
    <row r="32">
      <c r="A32" s="4" t="inlineStr">
        <is>
          <t>DD-20260216-0027</t>
        </is>
      </c>
      <c r="B32" s="5" t="n">
        <v>46069</v>
      </c>
      <c r="C32" s="4" t="inlineStr">
        <is>
          <t>KH014</t>
        </is>
      </c>
      <c r="D32" s="6" t="inlineStr">
        <is>
          <t>宁波海港实业</t>
        </is>
      </c>
      <c r="E32" s="4" t="inlineStr">
        <is>
          <t>李娜</t>
        </is>
      </c>
      <c r="F32" s="4" t="inlineStr">
        <is>
          <t>华东区</t>
        </is>
      </c>
      <c r="G32" s="4" t="inlineStr">
        <is>
          <t>CP004</t>
        </is>
      </c>
      <c r="H32" s="6" t="inlineStr">
        <is>
          <t>笔记本电脑 TechBook 14</t>
        </is>
      </c>
      <c r="I32" s="7" t="n">
        <v>5699</v>
      </c>
      <c r="J32" s="4" t="n">
        <v>11</v>
      </c>
      <c r="K32" s="12" t="inlineStr">
        <is>
          <t>¥62,689.00</t>
        </is>
      </c>
      <c r="L32" s="4" t="inlineStr">
        <is>
          <t>已完成</t>
        </is>
      </c>
    </row>
    <row r="33">
      <c r="A33" s="8" t="inlineStr">
        <is>
          <t>DD-20260221-0028</t>
        </is>
      </c>
      <c r="B33" s="8" t="inlineStr">
        <is>
          <t>2026.2.21</t>
        </is>
      </c>
      <c r="C33" s="8" t="inlineStr">
        <is>
          <t>KH005</t>
        </is>
      </c>
      <c r="D33" s="10" t="inlineStr">
        <is>
          <t>杭州云图信息</t>
        </is>
      </c>
      <c r="E33" s="8" t="inlineStr">
        <is>
          <t>杨帆</t>
        </is>
      </c>
      <c r="F33" s="8" t="inlineStr">
        <is>
          <t>华东</t>
        </is>
      </c>
      <c r="G33" s="8" t="inlineStr">
        <is>
          <t>CP011</t>
        </is>
      </c>
      <c r="H33" s="10" t="inlineStr">
        <is>
          <t>办公软件年费授权</t>
        </is>
      </c>
      <c r="I33" s="11" t="n">
        <v>699</v>
      </c>
      <c r="J33" s="8" t="n">
        <v>20</v>
      </c>
      <c r="K33" s="11" t="n">
        <v>13980</v>
      </c>
      <c r="L33" s="8" t="inlineStr">
        <is>
          <t>已完成</t>
        </is>
      </c>
    </row>
    <row r="34">
      <c r="A34" s="4" t="inlineStr">
        <is>
          <t>DD-20260221-0029</t>
        </is>
      </c>
      <c r="B34" s="5" t="n">
        <v>46074</v>
      </c>
      <c r="C34" s="4" t="inlineStr">
        <is>
          <t>KH005</t>
        </is>
      </c>
      <c r="D34" s="6" t="inlineStr">
        <is>
          <t>杭州云图信息</t>
        </is>
      </c>
      <c r="E34" s="4" t="inlineStr">
        <is>
          <t>赵磊</t>
        </is>
      </c>
      <c r="F34" s="4" t="inlineStr">
        <is>
          <t>华东</t>
        </is>
      </c>
      <c r="G34" s="4" t="inlineStr">
        <is>
          <t>CP001</t>
        </is>
      </c>
      <c r="H34" s="6" t="inlineStr">
        <is>
          <t>激光打印机 ProLaser 200</t>
        </is>
      </c>
      <c r="I34" s="7" t="n">
        <v>2499</v>
      </c>
      <c r="J34" s="4" t="n">
        <v>5</v>
      </c>
      <c r="K34" s="7" t="n">
        <v>12495</v>
      </c>
      <c r="L34" s="4" t="inlineStr">
        <is>
          <t>已取消</t>
        </is>
      </c>
    </row>
    <row r="35">
      <c r="A35" s="8" t="inlineStr">
        <is>
          <t>DD-20260512-0102</t>
        </is>
      </c>
      <c r="B35" s="9" t="n">
        <v>46154</v>
      </c>
      <c r="C35" s="8" t="inlineStr">
        <is>
          <t>KH014</t>
        </is>
      </c>
      <c r="D35" s="10" t="inlineStr">
        <is>
          <t>宁波海港实业</t>
        </is>
      </c>
      <c r="E35" s="8" t="inlineStr">
        <is>
          <t>王强</t>
        </is>
      </c>
      <c r="F35" s="8" t="inlineStr">
        <is>
          <t>华东</t>
        </is>
      </c>
      <c r="G35" s="8" t="inlineStr">
        <is>
          <t>CP004</t>
        </is>
      </c>
      <c r="H35" s="10" t="inlineStr">
        <is>
          <t>笔记本电脑 TechBook 14</t>
        </is>
      </c>
      <c r="I35" s="11" t="n">
        <v>5699</v>
      </c>
      <c r="J35" s="8" t="n">
        <v>13</v>
      </c>
      <c r="K35" s="11" t="n">
        <v>74087</v>
      </c>
      <c r="L35" s="8" t="inlineStr">
        <is>
          <t>已发货</t>
        </is>
      </c>
    </row>
    <row r="36">
      <c r="A36" s="4" t="inlineStr">
        <is>
          <t>DD-20260223-0030</t>
        </is>
      </c>
      <c r="B36" s="5" t="n">
        <v>46076</v>
      </c>
      <c r="C36" s="4" t="inlineStr">
        <is>
          <t>KH001</t>
        </is>
      </c>
      <c r="D36" s="6" t="inlineStr">
        <is>
          <t>北京华信科技</t>
        </is>
      </c>
      <c r="E36" s="4" t="inlineStr">
        <is>
          <t>李娜</t>
        </is>
      </c>
      <c r="F36" s="4" t="inlineStr">
        <is>
          <t>华北</t>
        </is>
      </c>
      <c r="G36" s="4" t="inlineStr">
        <is>
          <t>CP004</t>
        </is>
      </c>
      <c r="H36" s="6" t="inlineStr">
        <is>
          <t>笔记本电脑 TechBook 14</t>
        </is>
      </c>
      <c r="I36" s="7" t="n">
        <v>5699</v>
      </c>
      <c r="J36" s="4" t="inlineStr">
        <is>
          <t>5</t>
        </is>
      </c>
      <c r="K36" s="7" t="n">
        <v>28495</v>
      </c>
      <c r="L36" s="4" t="inlineStr">
        <is>
          <t>已完成</t>
        </is>
      </c>
    </row>
    <row r="37">
      <c r="A37" s="8" t="inlineStr">
        <is>
          <t>DD-20260227-0031</t>
        </is>
      </c>
      <c r="B37" s="9" t="n">
        <v>46080</v>
      </c>
      <c r="C37" s="8" t="inlineStr">
        <is>
          <t>KH011</t>
        </is>
      </c>
      <c r="D37" s="10" t="inlineStr">
        <is>
          <t>重庆山城办公设备</t>
        </is>
      </c>
      <c r="E37" s="8" t="inlineStr">
        <is>
          <t>杨帆</t>
        </is>
      </c>
      <c r="F37" s="8" t="inlineStr">
        <is>
          <t>西南</t>
        </is>
      </c>
      <c r="G37" s="8" t="inlineStr">
        <is>
          <t>CP012</t>
        </is>
      </c>
      <c r="H37" s="10" t="inlineStr">
        <is>
          <t>云存储服务（1TB/年）</t>
        </is>
      </c>
      <c r="I37" s="11" t="n">
        <v>599</v>
      </c>
      <c r="J37" s="8" t="n">
        <v>24</v>
      </c>
      <c r="K37" s="11" t="n">
        <v>14376</v>
      </c>
      <c r="L37" s="8" t="inlineStr">
        <is>
          <t>已发货</t>
        </is>
      </c>
    </row>
    <row r="38">
      <c r="A38" s="4" t="inlineStr">
        <is>
          <t>DD-20260308-0037</t>
        </is>
      </c>
      <c r="B38" s="5" t="n">
        <v>46089</v>
      </c>
      <c r="C38" s="4" t="inlineStr">
        <is>
          <t>KH008</t>
        </is>
      </c>
      <c r="D38" s="6" t="inlineStr">
        <is>
          <t>南京紫金山软件园运营</t>
        </is>
      </c>
      <c r="E38" s="4" t="inlineStr">
        <is>
          <t>杨帆</t>
        </is>
      </c>
      <c r="F38" s="4" t="inlineStr">
        <is>
          <t>华东</t>
        </is>
      </c>
      <c r="G38" s="4" t="inlineStr">
        <is>
          <t>CP008</t>
        </is>
      </c>
      <c r="H38" s="6" t="inlineStr">
        <is>
          <t>A4复印纸（5包/箱）</t>
        </is>
      </c>
      <c r="I38" s="7" t="n">
        <v>128</v>
      </c>
      <c r="J38" s="4" t="n">
        <v>12</v>
      </c>
      <c r="K38" s="7" t="n">
        <v>1536</v>
      </c>
      <c r="L38" s="4" t="inlineStr">
        <is>
          <t>已完成</t>
        </is>
      </c>
    </row>
    <row r="39">
      <c r="A39" s="8" t="inlineStr">
        <is>
          <t>DD-20260227-0032</t>
        </is>
      </c>
      <c r="B39" s="8" t="inlineStr">
        <is>
          <t>2026/2/27</t>
        </is>
      </c>
      <c r="C39" s="8" t="inlineStr">
        <is>
          <t>KH012</t>
        </is>
      </c>
      <c r="D39" s="10" t="inlineStr">
        <is>
          <t>长沙麓山科技</t>
        </is>
      </c>
      <c r="E39" s="8" t="inlineStr">
        <is>
          <t>张伟</t>
        </is>
      </c>
      <c r="F39" s="8" t="inlineStr">
        <is>
          <t>华中</t>
        </is>
      </c>
      <c r="G39" s="8" t="inlineStr">
        <is>
          <t>CP009</t>
        </is>
      </c>
      <c r="H39" s="10" t="inlineStr">
        <is>
          <t>激光硒鼓 TonerMax 12A</t>
        </is>
      </c>
      <c r="I39" s="11" t="n">
        <v>385</v>
      </c>
      <c r="J39" s="8" t="n">
        <v>88</v>
      </c>
      <c r="K39" s="11" t="n">
        <v>33880</v>
      </c>
      <c r="L39" s="8" t="inlineStr">
        <is>
          <t>已取消</t>
        </is>
      </c>
    </row>
    <row r="40">
      <c r="A40" s="4" t="inlineStr">
        <is>
          <t>DD-20260228-0033</t>
        </is>
      </c>
      <c r="B40" s="5" t="n">
        <v>46081</v>
      </c>
      <c r="C40" s="4" t="inlineStr">
        <is>
          <t>KH005</t>
        </is>
      </c>
      <c r="D40" s="6" t="inlineStr">
        <is>
          <t>杭州云图信息</t>
        </is>
      </c>
      <c r="E40" s="4" t="inlineStr">
        <is>
          <t>赵磊</t>
        </is>
      </c>
      <c r="F40" s="4" t="inlineStr">
        <is>
          <t>华东区</t>
        </is>
      </c>
      <c r="G40" s="4" t="inlineStr">
        <is>
          <t>CP004</t>
        </is>
      </c>
      <c r="H40" s="6" t="inlineStr">
        <is>
          <t>笔记本电脑 TechBook 14</t>
        </is>
      </c>
      <c r="I40" s="7" t="n">
        <v>5699</v>
      </c>
      <c r="J40" s="4" t="n">
        <v>8</v>
      </c>
      <c r="K40" s="12" t="inlineStr">
        <is>
          <t>¥45,592.00</t>
        </is>
      </c>
      <c r="L40" s="4" t="inlineStr">
        <is>
          <t>已取消</t>
        </is>
      </c>
    </row>
    <row r="41">
      <c r="A41" s="8" t="inlineStr">
        <is>
          <t>DD-20260303-0034</t>
        </is>
      </c>
      <c r="B41" s="9" t="n">
        <v>46084</v>
      </c>
      <c r="C41" s="8" t="inlineStr">
        <is>
          <t>KH017</t>
        </is>
      </c>
      <c r="D41" s="10" t="inlineStr">
        <is>
          <t>郑州中原物流</t>
        </is>
      </c>
      <c r="E41" s="8" t="inlineStr">
        <is>
          <t>陈静</t>
        </is>
      </c>
      <c r="F41" s="8" t="inlineStr">
        <is>
          <t>华中</t>
        </is>
      </c>
      <c r="G41" s="8" t="inlineStr">
        <is>
          <t>CP009</t>
        </is>
      </c>
      <c r="H41" s="10" t="inlineStr">
        <is>
          <t>激光硒鼓 TonerMax 12A</t>
        </is>
      </c>
      <c r="I41" s="11" t="n">
        <v>385</v>
      </c>
      <c r="J41" s="8" t="n">
        <v>120</v>
      </c>
      <c r="K41" s="11" t="n">
        <v>46200</v>
      </c>
      <c r="L41" s="8" t="inlineStr">
        <is>
          <t>已完成</t>
        </is>
      </c>
    </row>
    <row r="42">
      <c r="A42" s="4" t="inlineStr">
        <is>
          <t>DD-20260306-0035</t>
        </is>
      </c>
      <c r="B42" s="5" t="n">
        <v>46087</v>
      </c>
      <c r="C42" s="4" t="inlineStr">
        <is>
          <t>KH019</t>
        </is>
      </c>
      <c r="D42" s="6" t="inlineStr">
        <is>
          <t>北京中关新材</t>
        </is>
      </c>
      <c r="E42" s="4" t="inlineStr">
        <is>
          <t>赵磊</t>
        </is>
      </c>
      <c r="F42" s="4" t="inlineStr">
        <is>
          <t>华北</t>
        </is>
      </c>
      <c r="G42" s="4" t="inlineStr">
        <is>
          <t>CP006</t>
        </is>
      </c>
      <c r="H42" s="6" t="inlineStr">
        <is>
          <t>显示器 ViewMax 27</t>
        </is>
      </c>
      <c r="I42" s="7" t="n">
        <v>1299</v>
      </c>
      <c r="J42" s="4" t="n">
        <v>12</v>
      </c>
      <c r="K42" s="7" t="n">
        <v>15588</v>
      </c>
      <c r="L42" s="4" t="inlineStr">
        <is>
          <t>待付款</t>
        </is>
      </c>
    </row>
    <row r="43">
      <c r="A43" s="8" t="inlineStr">
        <is>
          <t>DD-20260306-0036</t>
        </is>
      </c>
      <c r="B43" s="9" t="n">
        <v>46087</v>
      </c>
      <c r="C43" s="8" t="inlineStr">
        <is>
          <t>KH005</t>
        </is>
      </c>
      <c r="D43" s="10" t="inlineStr">
        <is>
          <t>杭州云图信息</t>
        </is>
      </c>
      <c r="E43" s="8" t="inlineStr">
        <is>
          <t>李娜</t>
        </is>
      </c>
      <c r="F43" s="8" t="inlineStr">
        <is>
          <t>华东</t>
        </is>
      </c>
      <c r="G43" s="8" t="inlineStr">
        <is>
          <t>CP006</t>
        </is>
      </c>
      <c r="H43" s="10" t="inlineStr">
        <is>
          <t>显示器 ViewMax 27</t>
        </is>
      </c>
      <c r="I43" s="11" t="n">
        <v>1299</v>
      </c>
      <c r="J43" s="8" t="n">
        <v>12</v>
      </c>
      <c r="K43" s="11" t="n">
        <v>15588</v>
      </c>
      <c r="L43" s="8" t="inlineStr">
        <is>
          <t>已完成</t>
        </is>
      </c>
    </row>
    <row r="44">
      <c r="A44" s="4" t="inlineStr">
        <is>
          <t>DD-20260308-0037</t>
        </is>
      </c>
      <c r="B44" s="5" t="n">
        <v>46089</v>
      </c>
      <c r="C44" s="4" t="inlineStr">
        <is>
          <t>KH008</t>
        </is>
      </c>
      <c r="D44" s="6" t="inlineStr">
        <is>
          <t>南京紫金山软件园运营</t>
        </is>
      </c>
      <c r="E44" s="4" t="inlineStr">
        <is>
          <t>杨帆</t>
        </is>
      </c>
      <c r="F44" s="4" t="inlineStr">
        <is>
          <t>华东</t>
        </is>
      </c>
      <c r="G44" s="4" t="inlineStr">
        <is>
          <t>CP008</t>
        </is>
      </c>
      <c r="H44" s="6" t="inlineStr">
        <is>
          <t>A4复印纸（5包/箱）</t>
        </is>
      </c>
      <c r="I44" s="7" t="n">
        <v>128</v>
      </c>
      <c r="J44" s="4" t="n">
        <v>12</v>
      </c>
      <c r="K44" s="7" t="n">
        <v>1536</v>
      </c>
      <c r="L44" s="4" t="inlineStr">
        <is>
          <t>已完成</t>
        </is>
      </c>
    </row>
    <row r="45">
      <c r="A45" s="8" t="inlineStr">
        <is>
          <t>DD-20260308-0038</t>
        </is>
      </c>
      <c r="B45" s="9" t="n">
        <v>46089</v>
      </c>
      <c r="C45" s="8" t="inlineStr">
        <is>
          <t>KH001</t>
        </is>
      </c>
      <c r="D45" s="10" t="inlineStr">
        <is>
          <t>北京华信科技</t>
        </is>
      </c>
      <c r="E45" s="8" t="inlineStr">
        <is>
          <t>李娜</t>
        </is>
      </c>
      <c r="F45" s="8" t="inlineStr">
        <is>
          <t>华北</t>
        </is>
      </c>
      <c r="G45" s="8" t="inlineStr">
        <is>
          <t>CP012</t>
        </is>
      </c>
      <c r="H45" s="10" t="inlineStr">
        <is>
          <t>云存储服务（1TB/年）</t>
        </is>
      </c>
      <c r="I45" s="11" t="n">
        <v>599</v>
      </c>
      <c r="J45" s="8" t="n">
        <v>12</v>
      </c>
      <c r="K45" s="11" t="n">
        <v>7188</v>
      </c>
      <c r="L45" s="8" t="inlineStr">
        <is>
          <t>已完成</t>
        </is>
      </c>
    </row>
    <row r="46">
      <c r="A46" s="4" t="inlineStr">
        <is>
          <t>DD-20260308-0039</t>
        </is>
      </c>
      <c r="B46" s="5" t="n">
        <v>46089</v>
      </c>
      <c r="C46" s="4" t="inlineStr">
        <is>
          <t>KH002</t>
        </is>
      </c>
      <c r="D46" s="6" t="inlineStr">
        <is>
          <t>上海锦程贸易</t>
        </is>
      </c>
      <c r="E46" s="4" t="inlineStr">
        <is>
          <t>陈静</t>
        </is>
      </c>
      <c r="F46" s="4" t="inlineStr">
        <is>
          <t>华东</t>
        </is>
      </c>
      <c r="G46" s="4" t="inlineStr">
        <is>
          <t>CP006</t>
        </is>
      </c>
      <c r="H46" s="6" t="inlineStr">
        <is>
          <t>显示器 ViewMax 27</t>
        </is>
      </c>
      <c r="I46" s="7" t="n">
        <v>1299</v>
      </c>
      <c r="J46" s="4" t="n">
        <v>11</v>
      </c>
      <c r="K46" s="7" t="n">
        <v>14289</v>
      </c>
      <c r="L46" s="4" t="inlineStr">
        <is>
          <t>已完成</t>
        </is>
      </c>
    </row>
    <row r="47">
      <c r="A47" s="8" t="inlineStr">
        <is>
          <t>DD-20260310-0040</t>
        </is>
      </c>
      <c r="B47" s="9" t="n">
        <v>46091</v>
      </c>
      <c r="C47" s="8" t="inlineStr">
        <is>
          <t>KH011</t>
        </is>
      </c>
      <c r="D47" s="10" t="inlineStr">
        <is>
          <t>重庆山城办公设备</t>
        </is>
      </c>
      <c r="E47" s="8" t="inlineStr">
        <is>
          <t>赵磊</t>
        </is>
      </c>
      <c r="F47" s="8" t="inlineStr">
        <is>
          <t>西南</t>
        </is>
      </c>
      <c r="G47" s="8" t="inlineStr">
        <is>
          <t>CP006</t>
        </is>
      </c>
      <c r="H47" s="10" t="inlineStr">
        <is>
          <t>显示器 ViewMax 27</t>
        </is>
      </c>
      <c r="I47" s="11" t="n">
        <v>1299</v>
      </c>
      <c r="J47" s="8" t="n">
        <v>7</v>
      </c>
      <c r="K47" s="11" t="n">
        <v>9093</v>
      </c>
      <c r="L47" s="8" t="inlineStr">
        <is>
          <t>已完成</t>
        </is>
      </c>
    </row>
    <row r="48">
      <c r="A48" s="4" t="inlineStr">
        <is>
          <t>DD-20260310-0041</t>
        </is>
      </c>
      <c r="B48" s="5" t="n">
        <v>46091</v>
      </c>
      <c r="C48" s="4" t="inlineStr">
        <is>
          <t>KH008</t>
        </is>
      </c>
      <c r="D48" s="6" t="inlineStr">
        <is>
          <t>南京紫金山软件园运营</t>
        </is>
      </c>
      <c r="E48" s="4" t="inlineStr">
        <is>
          <t>王强</t>
        </is>
      </c>
      <c r="F48" s="4" t="inlineStr">
        <is>
          <t>华东</t>
        </is>
      </c>
      <c r="G48" s="4" t="inlineStr">
        <is>
          <t>CP004</t>
        </is>
      </c>
      <c r="H48" s="6" t="inlineStr">
        <is>
          <t>笔记本电脑 TechBook 14</t>
        </is>
      </c>
      <c r="I48" s="7" t="n">
        <v>5699</v>
      </c>
      <c r="J48" s="4" t="n">
        <v>3</v>
      </c>
      <c r="K48" s="7" t="n">
        <v>17097</v>
      </c>
      <c r="L48" s="4" t="inlineStr">
        <is>
          <t>已完成</t>
        </is>
      </c>
    </row>
    <row r="49">
      <c r="A49" s="8" t="inlineStr">
        <is>
          <t>DD-20260315-0042</t>
        </is>
      </c>
      <c r="B49" s="9" t="n">
        <v>46096</v>
      </c>
      <c r="C49" s="8" t="inlineStr">
        <is>
          <t>KH013</t>
        </is>
      </c>
      <c r="D49" s="10" t="inlineStr">
        <is>
          <t>石家庄振华商贸</t>
        </is>
      </c>
      <c r="E49" s="8" t="inlineStr">
        <is>
          <t>赵磊</t>
        </is>
      </c>
      <c r="F49" s="8" t="inlineStr">
        <is>
          <t>华北</t>
        </is>
      </c>
      <c r="G49" s="8" t="inlineStr">
        <is>
          <t>CP012</t>
        </is>
      </c>
      <c r="H49" s="10" t="inlineStr">
        <is>
          <t>云存储服务（1TB/年）</t>
        </is>
      </c>
      <c r="I49" s="11" t="n">
        <v>599</v>
      </c>
      <c r="J49" s="8" t="n">
        <v>37</v>
      </c>
      <c r="K49" s="11" t="n">
        <v>22163</v>
      </c>
      <c r="L49" s="8" t="inlineStr">
        <is>
          <t>待付款</t>
        </is>
      </c>
    </row>
    <row r="50">
      <c r="A50" s="4" t="inlineStr">
        <is>
          <t>DD-20260315-0043</t>
        </is>
      </c>
      <c r="B50" s="5" t="n">
        <v>46096</v>
      </c>
      <c r="C50" s="4" t="inlineStr">
        <is>
          <t>KH015</t>
        </is>
      </c>
      <c r="D50" s="6" t="inlineStr">
        <is>
          <t>佛山美的家电商贸</t>
        </is>
      </c>
      <c r="E50" s="4" t="inlineStr">
        <is>
          <t>陈静</t>
        </is>
      </c>
      <c r="F50" s="4" t="inlineStr">
        <is>
          <t>华南</t>
        </is>
      </c>
      <c r="G50" s="4" t="inlineStr">
        <is>
          <t>CP004</t>
        </is>
      </c>
      <c r="H50" s="6" t="inlineStr">
        <is>
          <t>笔记本电脑 TechBook 14</t>
        </is>
      </c>
      <c r="I50" s="7" t="n">
        <v>5699</v>
      </c>
      <c r="J50" s="4" t="n">
        <v>1</v>
      </c>
      <c r="K50" s="7" t="n">
        <v>5699</v>
      </c>
      <c r="L50" s="4" t="inlineStr">
        <is>
          <t>已完成</t>
        </is>
      </c>
    </row>
    <row r="51">
      <c r="A51" s="8" t="inlineStr">
        <is>
          <t>DD-20260316-0044</t>
        </is>
      </c>
      <c r="B51" s="9" t="n">
        <v>46097</v>
      </c>
      <c r="C51" s="8" t="inlineStr">
        <is>
          <t>KH008</t>
        </is>
      </c>
      <c r="D51" s="10" t="inlineStr">
        <is>
          <t>南京紫金山软件园运营</t>
        </is>
      </c>
      <c r="E51" s="8" t="inlineStr">
        <is>
          <t>李娜</t>
        </is>
      </c>
      <c r="F51" s="8" t="inlineStr">
        <is>
          <t>华东</t>
        </is>
      </c>
      <c r="G51" s="8" t="inlineStr">
        <is>
          <t>CP012</t>
        </is>
      </c>
      <c r="H51" s="10" t="inlineStr">
        <is>
          <t>云存储服务（1TB/年）</t>
        </is>
      </c>
      <c r="I51" s="11" t="n">
        <v>599</v>
      </c>
      <c r="J51" s="8" t="n">
        <v>10</v>
      </c>
      <c r="K51" s="11" t="n">
        <v>5990</v>
      </c>
      <c r="L51" s="8" t="inlineStr">
        <is>
          <t>待付款</t>
        </is>
      </c>
    </row>
    <row r="52">
      <c r="A52" s="4" t="inlineStr">
        <is>
          <t>DD-20260316-0045</t>
        </is>
      </c>
      <c r="B52" s="5" t="n">
        <v>46097</v>
      </c>
      <c r="C52" s="4" t="inlineStr">
        <is>
          <t>KH010</t>
        </is>
      </c>
      <c r="D52" s="6" t="inlineStr">
        <is>
          <t>苏州创智科技</t>
        </is>
      </c>
      <c r="E52" s="4" t="inlineStr">
        <is>
          <t>陈静</t>
        </is>
      </c>
      <c r="F52" s="4" t="inlineStr">
        <is>
          <t>华东</t>
        </is>
      </c>
      <c r="G52" s="4" t="inlineStr">
        <is>
          <t>CP009</t>
        </is>
      </c>
      <c r="H52" s="6" t="inlineStr">
        <is>
          <t>激光硒鼓 TonerMax 12A</t>
        </is>
      </c>
      <c r="I52" s="7" t="n">
        <v>385</v>
      </c>
      <c r="J52" s="4" t="n">
        <v>115</v>
      </c>
      <c r="K52" s="7" t="n">
        <v>44275</v>
      </c>
      <c r="L52" s="4" t="inlineStr">
        <is>
          <t>已完成</t>
        </is>
      </c>
    </row>
    <row r="53">
      <c r="A53" s="8" t="inlineStr">
        <is>
          <t>DD-20260317-0046</t>
        </is>
      </c>
      <c r="B53" s="9" t="n">
        <v>46098</v>
      </c>
      <c r="C53" s="8" t="inlineStr">
        <is>
          <t>KH010</t>
        </is>
      </c>
      <c r="D53" s="10" t="inlineStr">
        <is>
          <t>苏州创智科技</t>
        </is>
      </c>
      <c r="E53" s="8" t="inlineStr">
        <is>
          <t>张伟</t>
        </is>
      </c>
      <c r="F53" s="8" t="inlineStr">
        <is>
          <t>华东</t>
        </is>
      </c>
      <c r="G53" s="8" t="inlineStr">
        <is>
          <t>CP010</t>
        </is>
      </c>
      <c r="H53" s="10" t="inlineStr">
        <is>
          <t>签字笔盒装（12支）</t>
        </is>
      </c>
      <c r="I53" s="11" t="n">
        <v>45</v>
      </c>
      <c r="J53" s="8" t="n">
        <v>17</v>
      </c>
      <c r="K53" s="13" t="inlineStr">
        <is>
          <t>¥765.00</t>
        </is>
      </c>
      <c r="L53" s="8" t="inlineStr">
        <is>
          <t>已发货</t>
        </is>
      </c>
    </row>
    <row r="54">
      <c r="A54" s="4" t="inlineStr">
        <is>
          <t>DD-20260320-0047</t>
        </is>
      </c>
      <c r="B54" s="5" t="n">
        <v>46101</v>
      </c>
      <c r="C54" s="4" t="inlineStr">
        <is>
          <t>KH004</t>
        </is>
      </c>
      <c r="D54" s="6" t="inlineStr">
        <is>
          <t>深圳蓝鲸网络</t>
        </is>
      </c>
      <c r="E54" s="4" t="inlineStr">
        <is>
          <t>王强</t>
        </is>
      </c>
      <c r="F54" s="4" t="inlineStr">
        <is>
          <t>华南</t>
        </is>
      </c>
      <c r="G54" s="4" t="inlineStr">
        <is>
          <t>CP001</t>
        </is>
      </c>
      <c r="H54" s="6" t="inlineStr">
        <is>
          <t>激光打印机 ProLaser 200</t>
        </is>
      </c>
      <c r="I54" s="7" t="n">
        <v>2499</v>
      </c>
      <c r="J54" s="4" t="n">
        <v>4</v>
      </c>
      <c r="K54" s="7" t="n">
        <v>9996</v>
      </c>
      <c r="L54" s="4" t="inlineStr">
        <is>
          <t>已取消</t>
        </is>
      </c>
    </row>
    <row r="55">
      <c r="A55" s="8" t="inlineStr">
        <is>
          <t>DD-20260321-0048</t>
        </is>
      </c>
      <c r="B55" s="9" t="n">
        <v>46102</v>
      </c>
      <c r="C55" s="8" t="inlineStr">
        <is>
          <t>KH018</t>
        </is>
      </c>
      <c r="D55" s="10" t="inlineStr">
        <is>
          <t>厦门鹭岛文创</t>
        </is>
      </c>
      <c r="E55" s="8" t="inlineStr">
        <is>
          <t>刘洋</t>
        </is>
      </c>
      <c r="F55" s="8" t="inlineStr">
        <is>
          <t>华南区</t>
        </is>
      </c>
      <c r="G55" s="8" t="inlineStr">
        <is>
          <t>CP007</t>
        </is>
      </c>
      <c r="H55" s="10" t="inlineStr">
        <is>
          <t>无线键鼠套装 KeyFree 2.0</t>
        </is>
      </c>
      <c r="I55" s="11" t="n">
        <v>299</v>
      </c>
      <c r="J55" s="8" t="n">
        <v>6</v>
      </c>
      <c r="K55" s="11" t="n">
        <v>1794</v>
      </c>
      <c r="L55" s="8" t="inlineStr">
        <is>
          <t>已完成</t>
        </is>
      </c>
    </row>
    <row r="56">
      <c r="A56" s="4" t="inlineStr">
        <is>
          <t>DD-20260322-0049</t>
        </is>
      </c>
      <c r="B56" s="5" t="n">
        <v>46103</v>
      </c>
      <c r="C56" s="4" t="inlineStr">
        <is>
          <t>KH005</t>
        </is>
      </c>
      <c r="D56" s="6" t="inlineStr">
        <is>
          <t>杭州云图信息</t>
        </is>
      </c>
      <c r="E56" s="4" t="inlineStr">
        <is>
          <t>杨帆</t>
        </is>
      </c>
      <c r="F56" s="4" t="inlineStr">
        <is>
          <t>华东</t>
        </is>
      </c>
      <c r="G56" s="4" t="inlineStr">
        <is>
          <t>CP011</t>
        </is>
      </c>
      <c r="H56" s="6" t="inlineStr">
        <is>
          <t>办公软件年费授权</t>
        </is>
      </c>
      <c r="I56" s="7" t="n">
        <v>699</v>
      </c>
      <c r="J56" s="4" t="n">
        <v>25</v>
      </c>
      <c r="K56" s="7" t="n">
        <v>17475</v>
      </c>
      <c r="L56" s="4" t="inlineStr">
        <is>
          <t>已完成</t>
        </is>
      </c>
    </row>
    <row r="57">
      <c r="A57" s="8" t="inlineStr">
        <is>
          <t>DD-20260323-0050</t>
        </is>
      </c>
      <c r="B57" s="9" t="n">
        <v>46104</v>
      </c>
      <c r="C57" s="8" t="inlineStr">
        <is>
          <t>KH009</t>
        </is>
      </c>
      <c r="D57" s="10" t="inlineStr">
        <is>
          <t>天津海河传媒</t>
        </is>
      </c>
      <c r="E57" s="8" t="inlineStr">
        <is>
          <t>陈静</t>
        </is>
      </c>
      <c r="F57" s="8" t="inlineStr">
        <is>
          <t>华北</t>
        </is>
      </c>
      <c r="G57" s="8" t="inlineStr">
        <is>
          <t>CP011</t>
        </is>
      </c>
      <c r="H57" s="10" t="inlineStr">
        <is>
          <t>办公软件年费授权</t>
        </is>
      </c>
      <c r="I57" s="11" t="n">
        <v>699</v>
      </c>
      <c r="J57" s="8" t="n">
        <v>39</v>
      </c>
      <c r="K57" s="11" t="n">
        <v>27261</v>
      </c>
      <c r="L57" s="8" t="inlineStr">
        <is>
          <t>已完成</t>
        </is>
      </c>
    </row>
    <row r="58">
      <c r="A58" s="4" t="inlineStr">
        <is>
          <t>DD-20260323-0051</t>
        </is>
      </c>
      <c r="B58" s="5" t="n">
        <v>46104</v>
      </c>
      <c r="C58" s="4" t="inlineStr">
        <is>
          <t>KH012</t>
        </is>
      </c>
      <c r="D58" s="6" t="inlineStr">
        <is>
          <t>长沙麓山科技</t>
        </is>
      </c>
      <c r="E58" s="4" t="inlineStr">
        <is>
          <t>杨帆</t>
        </is>
      </c>
      <c r="F58" s="4" t="inlineStr">
        <is>
          <t>华中</t>
        </is>
      </c>
      <c r="G58" s="4" t="inlineStr">
        <is>
          <t>CP003</t>
        </is>
      </c>
      <c r="H58" s="6" t="inlineStr">
        <is>
          <t>碎纸机 SafeCut S8</t>
        </is>
      </c>
      <c r="I58" s="7" t="n">
        <v>899</v>
      </c>
      <c r="J58" s="4" t="n">
        <v>1</v>
      </c>
      <c r="K58" s="7" t="n">
        <v>899</v>
      </c>
      <c r="L58" s="4" t="inlineStr">
        <is>
          <t>待付款</t>
        </is>
      </c>
    </row>
    <row r="59">
      <c r="A59" s="8" t="inlineStr">
        <is>
          <t>DD-20260329-0052</t>
        </is>
      </c>
      <c r="B59" s="9" t="n">
        <v>46110</v>
      </c>
      <c r="C59" s="8" t="inlineStr">
        <is>
          <t>KH016</t>
        </is>
      </c>
      <c r="D59" s="10" t="inlineStr">
        <is>
          <t>昆明滇池科技</t>
        </is>
      </c>
      <c r="E59" s="8" t="inlineStr">
        <is>
          <t>张伟</t>
        </is>
      </c>
      <c r="F59" s="8" t="inlineStr">
        <is>
          <t>西南</t>
        </is>
      </c>
      <c r="G59" s="8" t="inlineStr">
        <is>
          <t>CP009</t>
        </is>
      </c>
      <c r="H59" s="10" t="inlineStr">
        <is>
          <t>激光硒鼓 TonerMax 12A</t>
        </is>
      </c>
      <c r="I59" s="11" t="n">
        <v>385</v>
      </c>
      <c r="J59" s="8" t="n">
        <v>111</v>
      </c>
      <c r="K59" s="11" t="n">
        <v>42735</v>
      </c>
      <c r="L59" s="8" t="inlineStr">
        <is>
          <t>已发货</t>
        </is>
      </c>
    </row>
    <row r="60">
      <c r="A60" s="4" t="inlineStr">
        <is>
          <t>DD-20260331-0053</t>
        </is>
      </c>
      <c r="B60" s="5" t="n">
        <v>46112</v>
      </c>
      <c r="C60" s="4" t="inlineStr">
        <is>
          <t>KH002</t>
        </is>
      </c>
      <c r="D60" s="6" t="inlineStr">
        <is>
          <t>上海锦程贸易</t>
        </is>
      </c>
      <c r="E60" s="4" t="inlineStr">
        <is>
          <t>陈静</t>
        </is>
      </c>
      <c r="F60" s="4" t="inlineStr">
        <is>
          <t xml:space="preserve"> 华东</t>
        </is>
      </c>
      <c r="G60" s="4" t="inlineStr">
        <is>
          <t>CP006</t>
        </is>
      </c>
      <c r="H60" s="6" t="inlineStr">
        <is>
          <t>显示器 ViewMax 27</t>
        </is>
      </c>
      <c r="I60" s="7" t="n">
        <v>1299</v>
      </c>
      <c r="J60" s="4" t="n"/>
      <c r="K60" s="7" t="n">
        <v>15588</v>
      </c>
      <c r="L60" s="4" t="inlineStr">
        <is>
          <t>已完成</t>
        </is>
      </c>
    </row>
    <row r="61">
      <c r="A61" s="8" t="inlineStr">
        <is>
          <t>DD-20260402-0054</t>
        </is>
      </c>
      <c r="B61" s="9" t="n">
        <v>46114</v>
      </c>
      <c r="C61" s="8" t="inlineStr">
        <is>
          <t>KH015</t>
        </is>
      </c>
      <c r="D61" s="10" t="inlineStr">
        <is>
          <t>佛山美的家电商贸</t>
        </is>
      </c>
      <c r="E61" s="8" t="inlineStr">
        <is>
          <t>刘洋</t>
        </is>
      </c>
      <c r="F61" s="8" t="inlineStr">
        <is>
          <t>华南</t>
        </is>
      </c>
      <c r="G61" s="8" t="inlineStr">
        <is>
          <t>CP012</t>
        </is>
      </c>
      <c r="H61" s="10" t="inlineStr">
        <is>
          <t>云存储服务（1TB/年）</t>
        </is>
      </c>
      <c r="I61" s="11" t="n">
        <v>599</v>
      </c>
      <c r="J61" s="8" t="n">
        <v>3</v>
      </c>
      <c r="K61" s="11" t="n">
        <v>1797</v>
      </c>
      <c r="L61" s="8" t="inlineStr">
        <is>
          <t>待付款</t>
        </is>
      </c>
    </row>
    <row r="62">
      <c r="A62" s="4" t="inlineStr">
        <is>
          <t>DD-20260403-0055</t>
        </is>
      </c>
      <c r="B62" s="5" t="n">
        <v>46115</v>
      </c>
      <c r="C62" s="4" t="inlineStr">
        <is>
          <t>KH014</t>
        </is>
      </c>
      <c r="D62" s="6" t="inlineStr">
        <is>
          <t>宁波海港实业</t>
        </is>
      </c>
      <c r="E62" s="4" t="inlineStr">
        <is>
          <t>赵磊</t>
        </is>
      </c>
      <c r="F62" s="4" t="inlineStr">
        <is>
          <t>华东</t>
        </is>
      </c>
      <c r="G62" s="4" t="inlineStr">
        <is>
          <t>CP006</t>
        </is>
      </c>
      <c r="H62" s="6" t="inlineStr">
        <is>
          <t>显示器 ViewMax 27</t>
        </is>
      </c>
      <c r="I62" s="7" t="n">
        <v>1299</v>
      </c>
      <c r="J62" s="4" t="n">
        <v>1</v>
      </c>
      <c r="K62" s="7" t="n">
        <v>1299</v>
      </c>
      <c r="L62" s="4" t="inlineStr">
        <is>
          <t>已完成</t>
        </is>
      </c>
    </row>
    <row r="63">
      <c r="A63" s="8" t="inlineStr">
        <is>
          <t>DD-20260404-0056</t>
        </is>
      </c>
      <c r="B63" s="9" t="n">
        <v>46116</v>
      </c>
      <c r="C63" s="8" t="inlineStr">
        <is>
          <t>KH019</t>
        </is>
      </c>
      <c r="D63" s="10" t="inlineStr">
        <is>
          <t>北京中关新材</t>
        </is>
      </c>
      <c r="E63" s="8" t="inlineStr">
        <is>
          <t>王强</t>
        </is>
      </c>
      <c r="F63" s="8" t="inlineStr">
        <is>
          <t>华北</t>
        </is>
      </c>
      <c r="G63" s="8" t="inlineStr">
        <is>
          <t>CP008</t>
        </is>
      </c>
      <c r="H63" s="10" t="inlineStr">
        <is>
          <t>A4复印纸（5包/箱）</t>
        </is>
      </c>
      <c r="I63" s="11" t="n">
        <v>128</v>
      </c>
      <c r="J63" s="8" t="n"/>
      <c r="K63" s="11" t="n">
        <v>11776</v>
      </c>
      <c r="L63" s="8" t="inlineStr">
        <is>
          <t>已取消</t>
        </is>
      </c>
    </row>
    <row r="64">
      <c r="A64" s="4" t="inlineStr">
        <is>
          <t>DD-20260405-0057</t>
        </is>
      </c>
      <c r="B64" s="5" t="n">
        <v>46117</v>
      </c>
      <c r="C64" s="4" t="inlineStr">
        <is>
          <t>KH002</t>
        </is>
      </c>
      <c r="D64" s="6" t="inlineStr">
        <is>
          <t>上海锦程贸易</t>
        </is>
      </c>
      <c r="E64" s="4" t="inlineStr">
        <is>
          <t>杨帆</t>
        </is>
      </c>
      <c r="F64" s="4" t="inlineStr">
        <is>
          <t>华东</t>
        </is>
      </c>
      <c r="G64" s="4" t="inlineStr">
        <is>
          <t>CP003</t>
        </is>
      </c>
      <c r="H64" s="6" t="inlineStr">
        <is>
          <t xml:space="preserve">碎纸机 SafeCut S8 </t>
        </is>
      </c>
      <c r="I64" s="7" t="n">
        <v>899</v>
      </c>
      <c r="J64" s="4" t="n">
        <v>7</v>
      </c>
      <c r="K64" s="7" t="n">
        <v>6293</v>
      </c>
      <c r="L64" s="4" t="inlineStr">
        <is>
          <t>已完成</t>
        </is>
      </c>
    </row>
    <row r="65">
      <c r="A65" s="8" t="inlineStr">
        <is>
          <t>DD-20260405-0058</t>
        </is>
      </c>
      <c r="B65" s="9" t="n">
        <v>46117</v>
      </c>
      <c r="C65" s="8" t="inlineStr">
        <is>
          <t>KH005</t>
        </is>
      </c>
      <c r="D65" s="10" t="inlineStr">
        <is>
          <t>杭州云图信息</t>
        </is>
      </c>
      <c r="E65" s="8" t="inlineStr">
        <is>
          <t>刘洋</t>
        </is>
      </c>
      <c r="F65" s="8" t="inlineStr">
        <is>
          <t>华东</t>
        </is>
      </c>
      <c r="G65" s="8" t="inlineStr">
        <is>
          <t>CP010</t>
        </is>
      </c>
      <c r="H65" s="10" t="inlineStr">
        <is>
          <t>签字笔盒装（12支）</t>
        </is>
      </c>
      <c r="I65" s="11" t="n">
        <v>45</v>
      </c>
      <c r="J65" s="8" t="n">
        <v>94</v>
      </c>
      <c r="K65" s="11" t="n">
        <v>4230</v>
      </c>
      <c r="L65" s="8" t="inlineStr">
        <is>
          <t>已完成</t>
        </is>
      </c>
    </row>
    <row r="66">
      <c r="A66" s="4" t="inlineStr">
        <is>
          <t>DD-20260407-0059</t>
        </is>
      </c>
      <c r="B66" s="5" t="n">
        <v>46119</v>
      </c>
      <c r="C66" s="4" t="inlineStr">
        <is>
          <t>KH005</t>
        </is>
      </c>
      <c r="D66" s="6" t="inlineStr">
        <is>
          <t>杭州云图信息</t>
        </is>
      </c>
      <c r="E66" s="4" t="inlineStr">
        <is>
          <t>王强</t>
        </is>
      </c>
      <c r="F66" s="4" t="inlineStr">
        <is>
          <t>华东</t>
        </is>
      </c>
      <c r="G66" s="4" t="inlineStr">
        <is>
          <t>CP008</t>
        </is>
      </c>
      <c r="H66" s="6" t="inlineStr">
        <is>
          <t>A4复印纸（5包/箱）</t>
        </is>
      </c>
      <c r="I66" s="7" t="n">
        <v>128</v>
      </c>
      <c r="J66" s="4" t="n">
        <v>55</v>
      </c>
      <c r="K66" s="12" t="inlineStr">
        <is>
          <t>¥7,040.00</t>
        </is>
      </c>
      <c r="L66" s="4" t="inlineStr">
        <is>
          <t>已取消</t>
        </is>
      </c>
    </row>
    <row r="67">
      <c r="A67" s="8" t="inlineStr">
        <is>
          <t>DD-20260412-0060</t>
        </is>
      </c>
      <c r="B67" s="9" t="n">
        <v>46124</v>
      </c>
      <c r="C67" s="8" t="inlineStr">
        <is>
          <t>KH003</t>
        </is>
      </c>
      <c r="D67" s="10" t="inlineStr">
        <is>
          <t>广州启航教育</t>
        </is>
      </c>
      <c r="E67" s="8" t="inlineStr">
        <is>
          <t>孙悦</t>
        </is>
      </c>
      <c r="F67" s="8" t="inlineStr">
        <is>
          <t>华南</t>
        </is>
      </c>
      <c r="G67" s="8" t="inlineStr">
        <is>
          <t>CP010</t>
        </is>
      </c>
      <c r="H67" s="10" t="inlineStr">
        <is>
          <t>签字笔盒装（12支）</t>
        </is>
      </c>
      <c r="I67" s="11" t="n">
        <v>45</v>
      </c>
      <c r="J67" s="8" t="n">
        <v>11</v>
      </c>
      <c r="K67" s="11" t="n">
        <v>495</v>
      </c>
      <c r="L67" s="8" t="inlineStr">
        <is>
          <t>已取消</t>
        </is>
      </c>
    </row>
    <row r="68">
      <c r="A68" s="4" t="inlineStr">
        <is>
          <t>DD-20260412-0061</t>
        </is>
      </c>
      <c r="B68" s="5" t="n">
        <v>46124</v>
      </c>
      <c r="C68" s="4" t="inlineStr">
        <is>
          <t>KH006</t>
        </is>
      </c>
      <c r="D68" s="6" t="inlineStr">
        <is>
          <t>成都天府商贸</t>
        </is>
      </c>
      <c r="E68" s="4" t="inlineStr">
        <is>
          <t>王强</t>
        </is>
      </c>
      <c r="F68" s="4" t="inlineStr">
        <is>
          <t>西南</t>
        </is>
      </c>
      <c r="G68" s="4" t="inlineStr">
        <is>
          <t>CP010</t>
        </is>
      </c>
      <c r="H68" s="6" t="inlineStr">
        <is>
          <t>签字笔盒装（12支）</t>
        </is>
      </c>
      <c r="I68" s="7" t="n">
        <v>45</v>
      </c>
      <c r="J68" s="4" t="n">
        <v>109</v>
      </c>
      <c r="K68" s="7" t="n">
        <v>4905</v>
      </c>
      <c r="L68" s="4" t="inlineStr">
        <is>
          <t>已发货</t>
        </is>
      </c>
    </row>
    <row r="69">
      <c r="A69" s="8" t="inlineStr">
        <is>
          <t>DD-20260413-0062</t>
        </is>
      </c>
      <c r="B69" s="9" t="n">
        <v>46125</v>
      </c>
      <c r="C69" s="8" t="inlineStr">
        <is>
          <t>KH001</t>
        </is>
      </c>
      <c r="D69" s="10" t="inlineStr">
        <is>
          <t>北京华信科技</t>
        </is>
      </c>
      <c r="E69" s="8" t="inlineStr">
        <is>
          <t>王强</t>
        </is>
      </c>
      <c r="F69" s="8" t="inlineStr">
        <is>
          <t>华北</t>
        </is>
      </c>
      <c r="G69" s="8" t="inlineStr">
        <is>
          <t>CP006</t>
        </is>
      </c>
      <c r="H69" s="10" t="inlineStr">
        <is>
          <t>显示器 ViewMax 27</t>
        </is>
      </c>
      <c r="I69" s="11" t="n">
        <v>1299</v>
      </c>
      <c r="J69" s="8" t="n">
        <v>3</v>
      </c>
      <c r="K69" s="11" t="n">
        <v>3897</v>
      </c>
      <c r="L69" s="8" t="inlineStr">
        <is>
          <t>已完成</t>
        </is>
      </c>
    </row>
    <row r="70">
      <c r="A70" s="4" t="inlineStr">
        <is>
          <t>DD-20260413-0063</t>
        </is>
      </c>
      <c r="B70" s="5" t="n">
        <v>46125</v>
      </c>
      <c r="C70" s="4" t="inlineStr">
        <is>
          <t>KH002</t>
        </is>
      </c>
      <c r="D70" s="6" t="inlineStr">
        <is>
          <t>上海锦程贸易</t>
        </is>
      </c>
      <c r="E70" s="4" t="inlineStr">
        <is>
          <t>张伟</t>
        </is>
      </c>
      <c r="F70" s="4" t="inlineStr">
        <is>
          <t>华东</t>
        </is>
      </c>
      <c r="G70" s="4" t="inlineStr">
        <is>
          <t>CP009</t>
        </is>
      </c>
      <c r="H70" s="6" t="inlineStr">
        <is>
          <t>激光硒鼓 TonerMax 12A</t>
        </is>
      </c>
      <c r="I70" s="7" t="n">
        <v>385</v>
      </c>
      <c r="J70" s="4" t="n">
        <v>100</v>
      </c>
      <c r="K70" s="7" t="n">
        <v>38500</v>
      </c>
      <c r="L70" s="4" t="inlineStr">
        <is>
          <t>待付款</t>
        </is>
      </c>
    </row>
    <row r="71">
      <c r="A71" s="8" t="inlineStr">
        <is>
          <t>DD-20260413-0064</t>
        </is>
      </c>
      <c r="B71" s="9" t="n">
        <v>46125</v>
      </c>
      <c r="C71" s="8" t="inlineStr">
        <is>
          <t>KH001</t>
        </is>
      </c>
      <c r="D71" s="10" t="inlineStr">
        <is>
          <t>北京华信科技</t>
        </is>
      </c>
      <c r="E71" s="8" t="inlineStr">
        <is>
          <t>王强</t>
        </is>
      </c>
      <c r="F71" s="8" t="inlineStr">
        <is>
          <t xml:space="preserve"> 华北</t>
        </is>
      </c>
      <c r="G71" s="8" t="inlineStr">
        <is>
          <t>CP006</t>
        </is>
      </c>
      <c r="H71" s="10" t="inlineStr">
        <is>
          <t>显示器 ViewMax 27</t>
        </is>
      </c>
      <c r="I71" s="11" t="n">
        <v>1299</v>
      </c>
      <c r="J71" s="8" t="n">
        <v>9</v>
      </c>
      <c r="K71" s="11" t="n">
        <v>11691</v>
      </c>
      <c r="L71" s="8" t="inlineStr">
        <is>
          <t>已发货</t>
        </is>
      </c>
    </row>
    <row r="72">
      <c r="A72" s="4" t="inlineStr">
        <is>
          <t>DD-20260418-0065</t>
        </is>
      </c>
      <c r="B72" s="5" t="n">
        <v>46130</v>
      </c>
      <c r="C72" s="4" t="inlineStr">
        <is>
          <t>KH004</t>
        </is>
      </c>
      <c r="D72" s="6" t="inlineStr">
        <is>
          <t>深圳蓝鲸网络</t>
        </is>
      </c>
      <c r="E72" s="4" t="inlineStr">
        <is>
          <t>孙悦</t>
        </is>
      </c>
      <c r="F72" s="4" t="inlineStr">
        <is>
          <t>华南</t>
        </is>
      </c>
      <c r="G72" s="4" t="inlineStr">
        <is>
          <t>CP002</t>
        </is>
      </c>
      <c r="H72" s="6" t="inlineStr">
        <is>
          <t>多功能一体机 PrintMaster 300</t>
        </is>
      </c>
      <c r="I72" s="7" t="n">
        <v>3599</v>
      </c>
      <c r="J72" s="4" t="inlineStr">
        <is>
          <t>6</t>
        </is>
      </c>
      <c r="K72" s="7" t="n">
        <v>21594</v>
      </c>
      <c r="L72" s="4" t="inlineStr">
        <is>
          <t>已完成</t>
        </is>
      </c>
    </row>
    <row r="73">
      <c r="A73" s="8" t="inlineStr">
        <is>
          <t>DD-20260418-0066</t>
        </is>
      </c>
      <c r="B73" s="9" t="n">
        <v>46130</v>
      </c>
      <c r="C73" s="8" t="inlineStr">
        <is>
          <t>KH016</t>
        </is>
      </c>
      <c r="D73" s="10" t="inlineStr">
        <is>
          <t>昆明滇池科技</t>
        </is>
      </c>
      <c r="E73" s="8" t="inlineStr">
        <is>
          <t>陈静</t>
        </is>
      </c>
      <c r="F73" s="8" t="inlineStr">
        <is>
          <t>西南</t>
        </is>
      </c>
      <c r="G73" s="8" t="inlineStr">
        <is>
          <t>CP002</t>
        </is>
      </c>
      <c r="H73" s="10" t="inlineStr">
        <is>
          <t>多功能一体机 PrintMaster 300</t>
        </is>
      </c>
      <c r="I73" s="11" t="n">
        <v>3599</v>
      </c>
      <c r="J73" s="8" t="n"/>
      <c r="K73" s="11" t="n">
        <v>17995</v>
      </c>
      <c r="L73" s="8" t="inlineStr">
        <is>
          <t>已发货</t>
        </is>
      </c>
    </row>
    <row r="74">
      <c r="A74" s="4" t="inlineStr">
        <is>
          <t>DD-20260419-0067</t>
        </is>
      </c>
      <c r="B74" s="5" t="n">
        <v>46131</v>
      </c>
      <c r="C74" s="4" t="inlineStr">
        <is>
          <t>KH006</t>
        </is>
      </c>
      <c r="D74" s="6" t="inlineStr">
        <is>
          <t>成都天府商贸</t>
        </is>
      </c>
      <c r="E74" s="4" t="inlineStr">
        <is>
          <t>刘洋</t>
        </is>
      </c>
      <c r="F74" s="4" t="inlineStr">
        <is>
          <t>西南</t>
        </is>
      </c>
      <c r="G74" s="4" t="inlineStr">
        <is>
          <t>CP011</t>
        </is>
      </c>
      <c r="H74" s="6" t="inlineStr">
        <is>
          <t>办公软件年费授权</t>
        </is>
      </c>
      <c r="I74" s="7" t="n">
        <v>699</v>
      </c>
      <c r="J74" s="4" t="inlineStr">
        <is>
          <t>9</t>
        </is>
      </c>
      <c r="K74" s="7" t="n">
        <v>6291</v>
      </c>
      <c r="L74" s="4" t="inlineStr">
        <is>
          <t>待付款</t>
        </is>
      </c>
    </row>
    <row r="75">
      <c r="A75" s="8" t="inlineStr">
        <is>
          <t>DD-20260419-0068</t>
        </is>
      </c>
      <c r="B75" s="9" t="n">
        <v>46131</v>
      </c>
      <c r="C75" s="8" t="inlineStr">
        <is>
          <t>KH014</t>
        </is>
      </c>
      <c r="D75" s="10" t="inlineStr">
        <is>
          <t>宁波海港实业</t>
        </is>
      </c>
      <c r="E75" s="8" t="inlineStr">
        <is>
          <t>杨帆</t>
        </is>
      </c>
      <c r="F75" s="8" t="inlineStr">
        <is>
          <t>华东</t>
        </is>
      </c>
      <c r="G75" s="8" t="inlineStr">
        <is>
          <t>CP007</t>
        </is>
      </c>
      <c r="H75" s="10" t="inlineStr">
        <is>
          <t>无线键鼠套装 KeyFree 2.0</t>
        </is>
      </c>
      <c r="I75" s="11" t="n">
        <v>299</v>
      </c>
      <c r="J75" s="8" t="n">
        <v>10</v>
      </c>
      <c r="K75" s="11" t="n">
        <v>2990</v>
      </c>
      <c r="L75" s="8" t="inlineStr">
        <is>
          <t>已完成</t>
        </is>
      </c>
    </row>
    <row r="76">
      <c r="A76" s="4" t="inlineStr">
        <is>
          <t>DD-20260419-0069</t>
        </is>
      </c>
      <c r="B76" s="5" t="n">
        <v>46131</v>
      </c>
      <c r="C76" s="4" t="inlineStr">
        <is>
          <t>KH015</t>
        </is>
      </c>
      <c r="D76" s="6" t="inlineStr">
        <is>
          <t>佛山美的家电商贸</t>
        </is>
      </c>
      <c r="E76" s="4" t="inlineStr">
        <is>
          <t>陈静</t>
        </is>
      </c>
      <c r="F76" s="4" t="inlineStr">
        <is>
          <t>华南</t>
        </is>
      </c>
      <c r="G76" s="4" t="inlineStr">
        <is>
          <t>CP002</t>
        </is>
      </c>
      <c r="H76" s="6" t="inlineStr">
        <is>
          <t>多功能一体机 PrintMaster 300</t>
        </is>
      </c>
      <c r="I76" s="7" t="n">
        <v>3599</v>
      </c>
      <c r="J76" s="4" t="n">
        <v>8</v>
      </c>
      <c r="K76" s="7" t="n">
        <v>28792</v>
      </c>
      <c r="L76" s="4" t="inlineStr">
        <is>
          <t>已完成</t>
        </is>
      </c>
    </row>
    <row r="77">
      <c r="A77" s="8" t="inlineStr">
        <is>
          <t>DD-20260420-0070</t>
        </is>
      </c>
      <c r="B77" s="9" t="n">
        <v>46132</v>
      </c>
      <c r="C77" s="8" t="inlineStr">
        <is>
          <t>KH013</t>
        </is>
      </c>
      <c r="D77" s="10" t="inlineStr">
        <is>
          <t>石家庄振华商贸</t>
        </is>
      </c>
      <c r="E77" s="8" t="inlineStr">
        <is>
          <t>杨帆</t>
        </is>
      </c>
      <c r="F77" s="8" t="inlineStr">
        <is>
          <t>华北</t>
        </is>
      </c>
      <c r="G77" s="8" t="inlineStr">
        <is>
          <t>CP003</t>
        </is>
      </c>
      <c r="H77" s="10" t="inlineStr">
        <is>
          <t>碎纸机 SafeCut S8</t>
        </is>
      </c>
      <c r="I77" s="11" t="n">
        <v>899</v>
      </c>
      <c r="J77" s="8" t="n">
        <v>7</v>
      </c>
      <c r="K77" s="11" t="n">
        <v>6293</v>
      </c>
      <c r="L77" s="8" t="inlineStr">
        <is>
          <t>已完成</t>
        </is>
      </c>
    </row>
    <row r="78">
      <c r="A78" s="4" t="inlineStr">
        <is>
          <t>DD-20260421-0071</t>
        </is>
      </c>
      <c r="B78" s="5" t="n">
        <v>46133</v>
      </c>
      <c r="C78" s="4" t="inlineStr">
        <is>
          <t>KH018</t>
        </is>
      </c>
      <c r="D78" s="6" t="inlineStr">
        <is>
          <t>厦门鹭岛文创</t>
        </is>
      </c>
      <c r="E78" s="4" t="inlineStr">
        <is>
          <t>赵磊</t>
        </is>
      </c>
      <c r="F78" s="4" t="inlineStr">
        <is>
          <t>华南</t>
        </is>
      </c>
      <c r="G78" s="4" t="inlineStr">
        <is>
          <t>CP009</t>
        </is>
      </c>
      <c r="H78" s="6" t="inlineStr">
        <is>
          <t>激光硒鼓 TonerMax 12A</t>
        </is>
      </c>
      <c r="I78" s="7" t="n">
        <v>385</v>
      </c>
      <c r="J78" s="4" t="n">
        <v>73</v>
      </c>
      <c r="K78" s="7" t="n">
        <v>28105</v>
      </c>
      <c r="L78" s="4" t="inlineStr">
        <is>
          <t>已完成</t>
        </is>
      </c>
    </row>
    <row r="79">
      <c r="A79" s="8" t="inlineStr">
        <is>
          <t>DD-20260422-0072</t>
        </is>
      </c>
      <c r="B79" s="9" t="n">
        <v>46134</v>
      </c>
      <c r="C79" s="8" t="inlineStr">
        <is>
          <t>KH003</t>
        </is>
      </c>
      <c r="D79" s="10" t="inlineStr">
        <is>
          <t>厦门鹭岛文创</t>
        </is>
      </c>
      <c r="E79" s="8" t="inlineStr">
        <is>
          <t>杨帆</t>
        </is>
      </c>
      <c r="F79" s="8" t="inlineStr">
        <is>
          <t>华南</t>
        </is>
      </c>
      <c r="G79" s="8" t="inlineStr">
        <is>
          <t>CP007</t>
        </is>
      </c>
      <c r="H79" s="10" t="inlineStr">
        <is>
          <t>无线键鼠套装 KeyFree 2.0</t>
        </is>
      </c>
      <c r="I79" s="11" t="n">
        <v>299</v>
      </c>
      <c r="J79" s="8" t="n">
        <v>12</v>
      </c>
      <c r="K79" s="11" t="n">
        <v>3588</v>
      </c>
      <c r="L79" s="8" t="inlineStr">
        <is>
          <t>已发货</t>
        </is>
      </c>
    </row>
    <row r="80">
      <c r="A80" s="4" t="inlineStr">
        <is>
          <t>DD-20260423-0073</t>
        </is>
      </c>
      <c r="B80" s="5" t="n">
        <v>46135</v>
      </c>
      <c r="C80" s="4" t="inlineStr">
        <is>
          <t>KH006</t>
        </is>
      </c>
      <c r="D80" s="6" t="inlineStr">
        <is>
          <t>成都天府商贸</t>
        </is>
      </c>
      <c r="E80" s="4" t="inlineStr">
        <is>
          <t>赵磊</t>
        </is>
      </c>
      <c r="F80" s="4" t="inlineStr">
        <is>
          <t>西南</t>
        </is>
      </c>
      <c r="G80" s="4" t="inlineStr">
        <is>
          <t>CP011</t>
        </is>
      </c>
      <c r="H80" s="6" t="inlineStr">
        <is>
          <t>办公软件年费授权</t>
        </is>
      </c>
      <c r="I80" s="7" t="n">
        <v>699</v>
      </c>
      <c r="J80" s="4" t="n">
        <v>39</v>
      </c>
      <c r="K80" s="7" t="n">
        <v>27261</v>
      </c>
      <c r="L80" s="4" t="inlineStr">
        <is>
          <t>已完成</t>
        </is>
      </c>
    </row>
    <row r="81">
      <c r="A81" s="8" t="inlineStr">
        <is>
          <t>DD-20260423-0074</t>
        </is>
      </c>
      <c r="B81" s="9" t="n">
        <v>46135</v>
      </c>
      <c r="C81" s="8" t="inlineStr">
        <is>
          <t>KH008</t>
        </is>
      </c>
      <c r="D81" s="10" t="inlineStr">
        <is>
          <t>南京紫金山软件园运营</t>
        </is>
      </c>
      <c r="E81" s="8" t="inlineStr">
        <is>
          <t>王强</t>
        </is>
      </c>
      <c r="F81" s="8" t="inlineStr">
        <is>
          <t>华东</t>
        </is>
      </c>
      <c r="G81" s="8" t="inlineStr">
        <is>
          <t>CP008</t>
        </is>
      </c>
      <c r="H81" s="10" t="inlineStr">
        <is>
          <t>A4复印纸（5包/箱）</t>
        </is>
      </c>
      <c r="I81" s="11" t="n">
        <v>128</v>
      </c>
      <c r="J81" s="8" t="n">
        <v>104</v>
      </c>
      <c r="K81" s="11" t="n">
        <v>13312</v>
      </c>
      <c r="L81" s="8" t="inlineStr">
        <is>
          <t>已完成</t>
        </is>
      </c>
    </row>
    <row r="82">
      <c r="A82" s="4" t="inlineStr">
        <is>
          <t>DD-20260426-0075</t>
        </is>
      </c>
      <c r="B82" s="5" t="n">
        <v>46138</v>
      </c>
      <c r="C82" s="4" t="inlineStr">
        <is>
          <t>KH005</t>
        </is>
      </c>
      <c r="D82" s="6" t="inlineStr">
        <is>
          <t>杭州云图信息</t>
        </is>
      </c>
      <c r="E82" s="4" t="inlineStr">
        <is>
          <t>孙悦</t>
        </is>
      </c>
      <c r="F82" s="4" t="inlineStr">
        <is>
          <t>华东</t>
        </is>
      </c>
      <c r="G82" s="4" t="inlineStr">
        <is>
          <t>CP003</t>
        </is>
      </c>
      <c r="H82" s="6" t="inlineStr">
        <is>
          <t>碎纸机 SafeCut S8</t>
        </is>
      </c>
      <c r="I82" s="7" t="n">
        <v>899</v>
      </c>
      <c r="J82" s="4" t="n">
        <v>5</v>
      </c>
      <c r="K82" s="12" t="inlineStr">
        <is>
          <t>¥4,495.00</t>
        </is>
      </c>
      <c r="L82" s="4" t="inlineStr">
        <is>
          <t>已完成</t>
        </is>
      </c>
    </row>
    <row r="83">
      <c r="A83" s="8" t="inlineStr">
        <is>
          <t>DD-20260426-0076</t>
        </is>
      </c>
      <c r="B83" s="9" t="n">
        <v>46138</v>
      </c>
      <c r="C83" s="8" t="inlineStr">
        <is>
          <t>KH010</t>
        </is>
      </c>
      <c r="D83" s="10" t="inlineStr">
        <is>
          <t>苏州创智科技</t>
        </is>
      </c>
      <c r="E83" s="8" t="inlineStr">
        <is>
          <t>王强</t>
        </is>
      </c>
      <c r="F83" s="8" t="inlineStr">
        <is>
          <t>华东</t>
        </is>
      </c>
      <c r="G83" s="8" t="inlineStr">
        <is>
          <t>CP005</t>
        </is>
      </c>
      <c r="H83" s="10" t="inlineStr">
        <is>
          <t>台式电脑 PowerDesk 500</t>
        </is>
      </c>
      <c r="I83" s="11" t="n">
        <v>4299</v>
      </c>
      <c r="J83" s="8" t="inlineStr">
        <is>
          <t>6</t>
        </is>
      </c>
      <c r="K83" s="11" t="n">
        <v>25794</v>
      </c>
      <c r="L83" s="8" t="inlineStr">
        <is>
          <t>已完成</t>
        </is>
      </c>
    </row>
    <row r="84">
      <c r="A84" s="4" t="inlineStr">
        <is>
          <t>DD-20260427-0077</t>
        </is>
      </c>
      <c r="B84" s="5" t="n">
        <v>46139</v>
      </c>
      <c r="C84" s="4" t="inlineStr">
        <is>
          <t>KH002</t>
        </is>
      </c>
      <c r="D84" s="6" t="inlineStr">
        <is>
          <t>上海锦程贸易</t>
        </is>
      </c>
      <c r="E84" s="4" t="inlineStr">
        <is>
          <t>赵磊</t>
        </is>
      </c>
      <c r="F84" s="4" t="inlineStr">
        <is>
          <t>华东</t>
        </is>
      </c>
      <c r="G84" s="4" t="inlineStr">
        <is>
          <t>CP005</t>
        </is>
      </c>
      <c r="H84" s="6" t="inlineStr">
        <is>
          <t>台式电脑 PowerDesk 500</t>
        </is>
      </c>
      <c r="I84" s="7" t="n">
        <v>4299</v>
      </c>
      <c r="J84" s="4" t="n"/>
      <c r="K84" s="7" t="n">
        <v>34392</v>
      </c>
      <c r="L84" s="4" t="inlineStr">
        <is>
          <t>已完成</t>
        </is>
      </c>
    </row>
    <row r="85">
      <c r="A85" s="8" t="inlineStr">
        <is>
          <t>DD-20260428-0078</t>
        </is>
      </c>
      <c r="B85" s="9" t="n">
        <v>46140</v>
      </c>
      <c r="C85" s="8" t="inlineStr">
        <is>
          <t>KH010</t>
        </is>
      </c>
      <c r="D85" s="10" t="inlineStr">
        <is>
          <t>苏州创智科技</t>
        </is>
      </c>
      <c r="E85" s="8" t="inlineStr">
        <is>
          <t>杨帆</t>
        </is>
      </c>
      <c r="F85" s="8" t="inlineStr">
        <is>
          <t>华东</t>
        </is>
      </c>
      <c r="G85" s="8" t="inlineStr">
        <is>
          <t>CP006</t>
        </is>
      </c>
      <c r="H85" s="10" t="inlineStr">
        <is>
          <t>显示器 ViewMax 27</t>
        </is>
      </c>
      <c r="I85" s="11" t="n">
        <v>1299</v>
      </c>
      <c r="J85" s="8" t="n">
        <v>7</v>
      </c>
      <c r="K85" s="11" t="n">
        <v>9093</v>
      </c>
      <c r="L85" s="8" t="inlineStr">
        <is>
          <t>已完成</t>
        </is>
      </c>
    </row>
    <row r="86">
      <c r="A86" s="4" t="inlineStr">
        <is>
          <t>DD-20260428-0079</t>
        </is>
      </c>
      <c r="B86" s="5" t="n">
        <v>46140</v>
      </c>
      <c r="C86" s="4" t="inlineStr">
        <is>
          <t>KH015</t>
        </is>
      </c>
      <c r="D86" s="6" t="inlineStr">
        <is>
          <t>佛山美的家电商贸</t>
        </is>
      </c>
      <c r="E86" s="4" t="inlineStr">
        <is>
          <t>刘洋</t>
        </is>
      </c>
      <c r="F86" s="4" t="inlineStr">
        <is>
          <t>华南区</t>
        </is>
      </c>
      <c r="G86" s="4" t="inlineStr">
        <is>
          <t>CP008</t>
        </is>
      </c>
      <c r="H86" s="6" t="inlineStr">
        <is>
          <t>A4复印纸（5包/箱）</t>
        </is>
      </c>
      <c r="I86" s="7" t="n">
        <v>128</v>
      </c>
      <c r="J86" s="4" t="n">
        <v>96</v>
      </c>
      <c r="K86" s="7" t="n">
        <v>12288</v>
      </c>
      <c r="L86" s="4" t="inlineStr">
        <is>
          <t>已完成</t>
        </is>
      </c>
    </row>
    <row r="87">
      <c r="A87" s="8" t="inlineStr">
        <is>
          <t>DD-20260428-0080</t>
        </is>
      </c>
      <c r="B87" s="9" t="n">
        <v>46140</v>
      </c>
      <c r="C87" s="8" t="inlineStr">
        <is>
          <t>KH012</t>
        </is>
      </c>
      <c r="D87" s="10" t="inlineStr">
        <is>
          <t>长沙麓山科技</t>
        </is>
      </c>
      <c r="E87" s="8" t="inlineStr">
        <is>
          <t>王强</t>
        </is>
      </c>
      <c r="F87" s="8" t="inlineStr">
        <is>
          <t>华中</t>
        </is>
      </c>
      <c r="G87" s="8" t="inlineStr">
        <is>
          <t>CP002</t>
        </is>
      </c>
      <c r="H87" s="10" t="inlineStr">
        <is>
          <t>多功能一体机 PrintMaster 300</t>
        </is>
      </c>
      <c r="I87" s="11" t="n">
        <v>3599</v>
      </c>
      <c r="J87" s="8" t="n">
        <v>7</v>
      </c>
      <c r="K87" s="11" t="n">
        <v>25193</v>
      </c>
      <c r="L87" s="8" t="inlineStr">
        <is>
          <t>已完成</t>
        </is>
      </c>
    </row>
    <row r="88">
      <c r="A88" s="4" t="inlineStr">
        <is>
          <t>DD-20260429-0081</t>
        </is>
      </c>
      <c r="B88" s="5" t="n">
        <v>46141</v>
      </c>
      <c r="C88" s="4" t="inlineStr">
        <is>
          <t>KH011</t>
        </is>
      </c>
      <c r="D88" s="6" t="inlineStr">
        <is>
          <t>重庆山城办公设备</t>
        </is>
      </c>
      <c r="E88" s="4" t="inlineStr">
        <is>
          <t>赵磊</t>
        </is>
      </c>
      <c r="F88" s="4" t="inlineStr">
        <is>
          <t>西南</t>
        </is>
      </c>
      <c r="G88" s="4" t="inlineStr">
        <is>
          <t>CP005</t>
        </is>
      </c>
      <c r="H88" s="6" t="inlineStr">
        <is>
          <t>台式电脑 PowerDesk 500</t>
        </is>
      </c>
      <c r="I88" s="7" t="n">
        <v>4299</v>
      </c>
      <c r="J88" s="4" t="n">
        <v>6</v>
      </c>
      <c r="K88" s="7" t="n">
        <v>25794</v>
      </c>
      <c r="L88" s="4" t="inlineStr">
        <is>
          <t>待付款</t>
        </is>
      </c>
    </row>
    <row r="89">
      <c r="A89" s="8" t="inlineStr">
        <is>
          <t>DD-20260430-0082</t>
        </is>
      </c>
      <c r="B89" s="9" t="n">
        <v>46142</v>
      </c>
      <c r="C89" s="8" t="inlineStr">
        <is>
          <t>KH015</t>
        </is>
      </c>
      <c r="D89" s="10" t="inlineStr">
        <is>
          <t>佛山美的家电商贸</t>
        </is>
      </c>
      <c r="E89" s="8" t="inlineStr">
        <is>
          <t>杨帆</t>
        </is>
      </c>
      <c r="F89" s="8" t="inlineStr">
        <is>
          <t>华南</t>
        </is>
      </c>
      <c r="G89" s="8" t="inlineStr">
        <is>
          <t>CP011</t>
        </is>
      </c>
      <c r="H89" s="10" t="inlineStr">
        <is>
          <t>办公软件年费授权</t>
        </is>
      </c>
      <c r="I89" s="11" t="n">
        <v>699</v>
      </c>
      <c r="J89" s="8" t="n">
        <v>32</v>
      </c>
      <c r="K89" s="11" t="n">
        <v>22368</v>
      </c>
      <c r="L89" s="8" t="inlineStr">
        <is>
          <t>已完成</t>
        </is>
      </c>
    </row>
    <row r="90">
      <c r="A90" s="4" t="inlineStr">
        <is>
          <t>DD-20260501-0083</t>
        </is>
      </c>
      <c r="B90" s="5" t="n">
        <v>46143</v>
      </c>
      <c r="C90" s="4" t="inlineStr">
        <is>
          <t>KH015</t>
        </is>
      </c>
      <c r="D90" s="6" t="inlineStr">
        <is>
          <t>佛山美的家电商贸</t>
        </is>
      </c>
      <c r="E90" s="4" t="inlineStr">
        <is>
          <t>陈静</t>
        </is>
      </c>
      <c r="F90" s="4" t="inlineStr">
        <is>
          <t>华南</t>
        </is>
      </c>
      <c r="G90" s="4" t="inlineStr">
        <is>
          <t>CP009</t>
        </is>
      </c>
      <c r="H90" s="6" t="inlineStr">
        <is>
          <t>激光硒鼓 TonerMax 12A</t>
        </is>
      </c>
      <c r="I90" s="7" t="n">
        <v>385</v>
      </c>
      <c r="J90" s="4" t="n">
        <v>94</v>
      </c>
      <c r="K90" s="7" t="n">
        <v>36190</v>
      </c>
      <c r="L90" s="4" t="inlineStr">
        <is>
          <t>已完成</t>
        </is>
      </c>
    </row>
    <row r="91">
      <c r="A91" s="8" t="inlineStr">
        <is>
          <t>DD-20260501-0084</t>
        </is>
      </c>
      <c r="B91" s="8" t="inlineStr">
        <is>
          <t>2026.5.1</t>
        </is>
      </c>
      <c r="C91" s="8" t="inlineStr">
        <is>
          <t>KH015</t>
        </is>
      </c>
      <c r="D91" s="10" t="inlineStr">
        <is>
          <t>佛山美的家电商贸</t>
        </is>
      </c>
      <c r="E91" s="8" t="inlineStr">
        <is>
          <t>陈静</t>
        </is>
      </c>
      <c r="F91" s="8" t="inlineStr">
        <is>
          <t>华南</t>
        </is>
      </c>
      <c r="G91" s="8" t="inlineStr">
        <is>
          <t>CP010</t>
        </is>
      </c>
      <c r="H91" s="10" t="inlineStr">
        <is>
          <t>签字笔盒装（12支）</t>
        </is>
      </c>
      <c r="I91" s="11" t="n">
        <v>45</v>
      </c>
      <c r="J91" s="8" t="n">
        <v>75</v>
      </c>
      <c r="K91" s="11" t="n">
        <v>3375</v>
      </c>
      <c r="L91" s="8" t="inlineStr">
        <is>
          <t>已发货</t>
        </is>
      </c>
    </row>
    <row r="92">
      <c r="A92" s="4" t="inlineStr">
        <is>
          <t>DD-20260503-0085</t>
        </is>
      </c>
      <c r="B92" s="5" t="n">
        <v>46145</v>
      </c>
      <c r="C92" s="4" t="inlineStr">
        <is>
          <t>KH007</t>
        </is>
      </c>
      <c r="D92" s="6" t="inlineStr">
        <is>
          <t>武汉长江实业</t>
        </is>
      </c>
      <c r="E92" s="4" t="inlineStr">
        <is>
          <t>张伟</t>
        </is>
      </c>
      <c r="F92" s="4" t="inlineStr">
        <is>
          <t>华中</t>
        </is>
      </c>
      <c r="G92" s="4" t="inlineStr">
        <is>
          <t>CP008</t>
        </is>
      </c>
      <c r="H92" s="6" t="inlineStr">
        <is>
          <t>A4复印纸（5包/箱）</t>
        </is>
      </c>
      <c r="I92" s="7" t="n">
        <v>128</v>
      </c>
      <c r="J92" s="4" t="inlineStr">
        <is>
          <t>34</t>
        </is>
      </c>
      <c r="K92" s="7" t="n">
        <v>4352</v>
      </c>
      <c r="L92" s="4" t="inlineStr">
        <is>
          <t>已取消</t>
        </is>
      </c>
    </row>
    <row r="93">
      <c r="A93" s="8" t="inlineStr">
        <is>
          <t>DD-20260503-0086</t>
        </is>
      </c>
      <c r="B93" s="9" t="n">
        <v>46145</v>
      </c>
      <c r="C93" s="8" t="inlineStr">
        <is>
          <t>KH003</t>
        </is>
      </c>
      <c r="D93" s="10" t="inlineStr">
        <is>
          <t>广州启航教育</t>
        </is>
      </c>
      <c r="E93" s="8" t="inlineStr">
        <is>
          <t>刘洋</t>
        </is>
      </c>
      <c r="F93" s="8" t="inlineStr">
        <is>
          <t>华南</t>
        </is>
      </c>
      <c r="G93" s="8" t="inlineStr">
        <is>
          <t>CP012</t>
        </is>
      </c>
      <c r="H93" s="10" t="inlineStr">
        <is>
          <t>云存储服务（1TB/年）</t>
        </is>
      </c>
      <c r="I93" s="11" t="n">
        <v>599</v>
      </c>
      <c r="J93" s="8" t="n">
        <v>31</v>
      </c>
      <c r="K93" s="11" t="n">
        <v>18569</v>
      </c>
      <c r="L93" s="8" t="inlineStr">
        <is>
          <t>已发货</t>
        </is>
      </c>
    </row>
    <row r="94">
      <c r="A94" s="4" t="inlineStr">
        <is>
          <t>DD-20260503-0087</t>
        </is>
      </c>
      <c r="B94" s="4" t="inlineStr">
        <is>
          <t>2026/5/3</t>
        </is>
      </c>
      <c r="C94" s="4" t="inlineStr">
        <is>
          <t>KH003</t>
        </is>
      </c>
      <c r="D94" s="6" t="inlineStr">
        <is>
          <t>广州启航教育</t>
        </is>
      </c>
      <c r="E94" s="4" t="inlineStr">
        <is>
          <t>赵磊</t>
        </is>
      </c>
      <c r="F94" s="4" t="inlineStr">
        <is>
          <t>华南</t>
        </is>
      </c>
      <c r="G94" s="4" t="inlineStr">
        <is>
          <t>CP006</t>
        </is>
      </c>
      <c r="H94" s="6" t="inlineStr">
        <is>
          <t>显示器 ViewMax 27</t>
        </is>
      </c>
      <c r="I94" s="7" t="n">
        <v>1299</v>
      </c>
      <c r="J94" s="4" t="n">
        <v>10</v>
      </c>
      <c r="K94" s="7" t="n">
        <v>12990</v>
      </c>
      <c r="L94" s="4" t="inlineStr">
        <is>
          <t>已发货</t>
        </is>
      </c>
    </row>
    <row r="95">
      <c r="A95" s="8" t="inlineStr">
        <is>
          <t>DD-20260504-0088</t>
        </is>
      </c>
      <c r="B95" s="9" t="n">
        <v>46146</v>
      </c>
      <c r="C95" s="8" t="inlineStr">
        <is>
          <t>KH013</t>
        </is>
      </c>
      <c r="D95" s="10" t="inlineStr">
        <is>
          <t>石家庄振华商贸</t>
        </is>
      </c>
      <c r="E95" s="8" t="inlineStr">
        <is>
          <t>张伟</t>
        </is>
      </c>
      <c r="F95" s="8" t="inlineStr">
        <is>
          <t>华北</t>
        </is>
      </c>
      <c r="G95" s="8" t="inlineStr">
        <is>
          <t>CP008</t>
        </is>
      </c>
      <c r="H95" s="10" t="inlineStr">
        <is>
          <t>A4复印纸（5包/箱）</t>
        </is>
      </c>
      <c r="I95" s="11" t="n">
        <v>128</v>
      </c>
      <c r="J95" s="8" t="n">
        <v>23</v>
      </c>
      <c r="K95" s="11" t="n">
        <v>2944</v>
      </c>
      <c r="L95" s="8" t="inlineStr">
        <is>
          <t>已完成</t>
        </is>
      </c>
    </row>
    <row r="96">
      <c r="A96" s="4" t="inlineStr">
        <is>
          <t>DD-20260505-0089</t>
        </is>
      </c>
      <c r="B96" s="5" t="n">
        <v>46147</v>
      </c>
      <c r="C96" s="4" t="inlineStr">
        <is>
          <t>KH008</t>
        </is>
      </c>
      <c r="D96" s="6" t="inlineStr">
        <is>
          <t>南京紫金山软件园运营</t>
        </is>
      </c>
      <c r="E96" s="4" t="inlineStr">
        <is>
          <t>刘洋</t>
        </is>
      </c>
      <c r="F96" s="4" t="inlineStr">
        <is>
          <t>华东</t>
        </is>
      </c>
      <c r="G96" s="4" t="inlineStr">
        <is>
          <t>CP004</t>
        </is>
      </c>
      <c r="H96" s="6" t="inlineStr">
        <is>
          <t>笔记本电脑 TechBook 14</t>
        </is>
      </c>
      <c r="I96" s="7" t="n">
        <v>5699</v>
      </c>
      <c r="J96" s="4" t="n">
        <v>12</v>
      </c>
      <c r="K96" s="7" t="n">
        <v>68388</v>
      </c>
      <c r="L96" s="4" t="inlineStr">
        <is>
          <t>已取消</t>
        </is>
      </c>
    </row>
    <row r="97">
      <c r="A97" s="8" t="inlineStr">
        <is>
          <t>DD-20260506-0090</t>
        </is>
      </c>
      <c r="B97" s="9" t="n">
        <v>46148</v>
      </c>
      <c r="C97" s="8" t="inlineStr">
        <is>
          <t>KH018</t>
        </is>
      </c>
      <c r="D97" s="10" t="inlineStr">
        <is>
          <t>厦门鹭岛文创</t>
        </is>
      </c>
      <c r="E97" s="8" t="inlineStr">
        <is>
          <t>杨帆</t>
        </is>
      </c>
      <c r="F97" s="8" t="inlineStr">
        <is>
          <t>华南</t>
        </is>
      </c>
      <c r="G97" s="8" t="inlineStr">
        <is>
          <t>CP009</t>
        </is>
      </c>
      <c r="H97" s="10" t="inlineStr">
        <is>
          <t>激光硒鼓 TonerMax 12A</t>
        </is>
      </c>
      <c r="I97" s="11" t="n">
        <v>385</v>
      </c>
      <c r="J97" s="8" t="inlineStr">
        <is>
          <t>53</t>
        </is>
      </c>
      <c r="K97" s="11" t="n">
        <v>20405</v>
      </c>
      <c r="L97" s="8" t="inlineStr">
        <is>
          <t>已完成</t>
        </is>
      </c>
    </row>
    <row r="98">
      <c r="A98" s="4" t="inlineStr">
        <is>
          <t>DD-20260506-0091</t>
        </is>
      </c>
      <c r="B98" s="5" t="n">
        <v>46148</v>
      </c>
      <c r="C98" s="4" t="inlineStr">
        <is>
          <t>KH012</t>
        </is>
      </c>
      <c r="D98" s="6" t="inlineStr">
        <is>
          <t>长沙麓山科技</t>
        </is>
      </c>
      <c r="E98" s="4" t="inlineStr">
        <is>
          <t>陈静</t>
        </is>
      </c>
      <c r="F98" s="4" t="inlineStr">
        <is>
          <t>华中</t>
        </is>
      </c>
      <c r="G98" s="4" t="inlineStr">
        <is>
          <t>CP005</t>
        </is>
      </c>
      <c r="H98" s="6" t="inlineStr">
        <is>
          <t>台式电脑 PowerDesk 500</t>
        </is>
      </c>
      <c r="I98" s="7" t="n">
        <v>4299</v>
      </c>
      <c r="J98" s="4" t="n">
        <v>6</v>
      </c>
      <c r="K98" s="7" t="n">
        <v>25794</v>
      </c>
      <c r="L98" s="4" t="inlineStr">
        <is>
          <t>已完成</t>
        </is>
      </c>
    </row>
    <row r="99">
      <c r="A99" s="8" t="inlineStr">
        <is>
          <t>DD-20260506-0092</t>
        </is>
      </c>
      <c r="B99" s="8" t="inlineStr">
        <is>
          <t>2026/5/6</t>
        </is>
      </c>
      <c r="C99" s="8" t="inlineStr">
        <is>
          <t>KH010</t>
        </is>
      </c>
      <c r="D99" s="10" t="inlineStr">
        <is>
          <t>苏州创智科技</t>
        </is>
      </c>
      <c r="E99" s="8" t="inlineStr">
        <is>
          <t>陈静</t>
        </is>
      </c>
      <c r="F99" s="8" t="inlineStr">
        <is>
          <t>华东</t>
        </is>
      </c>
      <c r="G99" s="8" t="inlineStr">
        <is>
          <t>CP001</t>
        </is>
      </c>
      <c r="H99" s="10" t="inlineStr">
        <is>
          <t>激光打印机 ProLaser 200</t>
        </is>
      </c>
      <c r="I99" s="11" t="n">
        <v>2499</v>
      </c>
      <c r="J99" s="8" t="n">
        <v>6</v>
      </c>
      <c r="K99" s="11" t="n">
        <v>14994</v>
      </c>
      <c r="L99" s="8" t="inlineStr">
        <is>
          <t>待付款</t>
        </is>
      </c>
    </row>
    <row r="100">
      <c r="A100" s="4" t="inlineStr">
        <is>
          <t>DD-20260506-0093</t>
        </is>
      </c>
      <c r="B100" s="5" t="n">
        <v>46148</v>
      </c>
      <c r="C100" s="4" t="inlineStr">
        <is>
          <t>KH009</t>
        </is>
      </c>
      <c r="D100" s="6" t="inlineStr">
        <is>
          <t>天津海河传媒</t>
        </is>
      </c>
      <c r="E100" s="4" t="inlineStr">
        <is>
          <t>赵磊</t>
        </is>
      </c>
      <c r="F100" s="4" t="inlineStr">
        <is>
          <t>华北</t>
        </is>
      </c>
      <c r="G100" s="4" t="inlineStr">
        <is>
          <t>CP006</t>
        </is>
      </c>
      <c r="H100" s="6" t="inlineStr">
        <is>
          <t>显示器 ViewMax 27</t>
        </is>
      </c>
      <c r="I100" s="7" t="n">
        <v>1299</v>
      </c>
      <c r="J100" s="4" t="inlineStr">
        <is>
          <t>9</t>
        </is>
      </c>
      <c r="K100" s="7" t="n">
        <v>11691</v>
      </c>
      <c r="L100" s="4" t="inlineStr">
        <is>
          <t>已完成</t>
        </is>
      </c>
    </row>
    <row r="101">
      <c r="A101" s="8" t="inlineStr">
        <is>
          <t>DD-20260508-0094</t>
        </is>
      </c>
      <c r="B101" s="9" t="n">
        <v>46150</v>
      </c>
      <c r="C101" s="8" t="inlineStr">
        <is>
          <t>KH011</t>
        </is>
      </c>
      <c r="D101" s="10" t="inlineStr">
        <is>
          <t>重庆山城办公设备</t>
        </is>
      </c>
      <c r="E101" s="8" t="inlineStr">
        <is>
          <t>陈静</t>
        </is>
      </c>
      <c r="F101" s="8" t="inlineStr">
        <is>
          <t>西南区</t>
        </is>
      </c>
      <c r="G101" s="8" t="inlineStr">
        <is>
          <t>CP011</t>
        </is>
      </c>
      <c r="H101" s="10" t="inlineStr">
        <is>
          <t>办公软件年费授权</t>
        </is>
      </c>
      <c r="I101" s="11" t="n">
        <v>699</v>
      </c>
      <c r="J101" s="8" t="n">
        <v>6</v>
      </c>
      <c r="K101" s="13" t="inlineStr">
        <is>
          <t>¥4,194.00</t>
        </is>
      </c>
      <c r="L101" s="8" t="inlineStr">
        <is>
          <t>已取消</t>
        </is>
      </c>
    </row>
    <row r="102">
      <c r="A102" s="4" t="inlineStr">
        <is>
          <t>DD-20260508-0095</t>
        </is>
      </c>
      <c r="B102" s="5" t="n">
        <v>46150</v>
      </c>
      <c r="C102" s="4" t="inlineStr">
        <is>
          <t>KH012</t>
        </is>
      </c>
      <c r="D102" s="6" t="inlineStr">
        <is>
          <t>武汉长江实业</t>
        </is>
      </c>
      <c r="E102" s="4" t="inlineStr">
        <is>
          <t>杨帆</t>
        </is>
      </c>
      <c r="F102" s="4" t="inlineStr">
        <is>
          <t>华中</t>
        </is>
      </c>
      <c r="G102" s="4" t="inlineStr">
        <is>
          <t>CP011</t>
        </is>
      </c>
      <c r="H102" s="6" t="inlineStr">
        <is>
          <t>办公软件年费授权</t>
        </is>
      </c>
      <c r="I102" s="7" t="n">
        <v>699</v>
      </c>
      <c r="J102" s="4" t="n">
        <v>35</v>
      </c>
      <c r="K102" s="7" t="n">
        <v>24465</v>
      </c>
      <c r="L102" s="4" t="inlineStr">
        <is>
          <t>已完成</t>
        </is>
      </c>
    </row>
    <row r="103">
      <c r="A103" s="8" t="inlineStr">
        <is>
          <t>DD-20260508-0096</t>
        </is>
      </c>
      <c r="B103" s="8" t="inlineStr">
        <is>
          <t>2026年5月8日</t>
        </is>
      </c>
      <c r="C103" s="8" t="inlineStr">
        <is>
          <t>KH013</t>
        </is>
      </c>
      <c r="D103" s="10" t="inlineStr">
        <is>
          <t>石家庄振华商贸</t>
        </is>
      </c>
      <c r="E103" s="8" t="inlineStr">
        <is>
          <t>王强</t>
        </is>
      </c>
      <c r="F103" s="8" t="inlineStr">
        <is>
          <t>华北</t>
        </is>
      </c>
      <c r="G103" s="8" t="inlineStr">
        <is>
          <t>CP006</t>
        </is>
      </c>
      <c r="H103" s="10" t="inlineStr">
        <is>
          <t>显示器 ViewMax 27</t>
        </is>
      </c>
      <c r="I103" s="11" t="n">
        <v>1299</v>
      </c>
      <c r="J103" s="8" t="n">
        <v>2</v>
      </c>
      <c r="K103" s="11" t="n">
        <v>2598</v>
      </c>
      <c r="L103" s="8" t="inlineStr">
        <is>
          <t>已发货</t>
        </is>
      </c>
    </row>
    <row r="104">
      <c r="A104" s="4" t="inlineStr">
        <is>
          <t>DD-20260509-0097</t>
        </is>
      </c>
      <c r="B104" s="4" t="inlineStr">
        <is>
          <t>2026年5月9日</t>
        </is>
      </c>
      <c r="C104" s="4" t="inlineStr">
        <is>
          <t>KH019</t>
        </is>
      </c>
      <c r="D104" s="6" t="inlineStr">
        <is>
          <t>北京中关新材</t>
        </is>
      </c>
      <c r="E104" s="4" t="inlineStr">
        <is>
          <t>赵磊</t>
        </is>
      </c>
      <c r="F104" s="4" t="inlineStr">
        <is>
          <t>华北区</t>
        </is>
      </c>
      <c r="G104" s="4" t="inlineStr">
        <is>
          <t>CP012</t>
        </is>
      </c>
      <c r="H104" s="6" t="inlineStr">
        <is>
          <t>云存储服务（1TB/年）</t>
        </is>
      </c>
      <c r="I104" s="7" t="n">
        <v>599</v>
      </c>
      <c r="J104" s="4" t="n">
        <v>35</v>
      </c>
      <c r="K104" s="7" t="n">
        <v>20965</v>
      </c>
      <c r="L104" s="4" t="inlineStr">
        <is>
          <t>已发货</t>
        </is>
      </c>
    </row>
    <row r="105">
      <c r="A105" s="8" t="inlineStr">
        <is>
          <t>DD-20260509-0098</t>
        </is>
      </c>
      <c r="B105" s="9" t="n">
        <v>46151</v>
      </c>
      <c r="C105" s="8" t="inlineStr">
        <is>
          <t>KH019</t>
        </is>
      </c>
      <c r="D105" s="10" t="inlineStr">
        <is>
          <t>北京中关新材</t>
        </is>
      </c>
      <c r="E105" s="8" t="inlineStr">
        <is>
          <t>孙悦</t>
        </is>
      </c>
      <c r="F105" s="8" t="inlineStr">
        <is>
          <t xml:space="preserve">华北 </t>
        </is>
      </c>
      <c r="G105" s="8" t="inlineStr">
        <is>
          <t>CP012</t>
        </is>
      </c>
      <c r="H105" s="10" t="inlineStr">
        <is>
          <t>云存储服务（1TB/年）</t>
        </is>
      </c>
      <c r="I105" s="11" t="n">
        <v>599</v>
      </c>
      <c r="J105" s="8" t="n">
        <v>3</v>
      </c>
      <c r="K105" s="11" t="n">
        <v>1797</v>
      </c>
      <c r="L105" s="8" t="inlineStr">
        <is>
          <t>已完成</t>
        </is>
      </c>
    </row>
    <row r="106">
      <c r="A106" s="4" t="inlineStr">
        <is>
          <t>DD-20260510-0099</t>
        </is>
      </c>
      <c r="B106" s="5" t="n">
        <v>46152</v>
      </c>
      <c r="C106" s="4" t="inlineStr">
        <is>
          <t>KH008</t>
        </is>
      </c>
      <c r="D106" s="6" t="inlineStr">
        <is>
          <t>南京紫金山软件园运营</t>
        </is>
      </c>
      <c r="E106" s="4" t="inlineStr">
        <is>
          <t>刘洋</t>
        </is>
      </c>
      <c r="F106" s="4" t="inlineStr">
        <is>
          <t>华东</t>
        </is>
      </c>
      <c r="G106" s="4" t="inlineStr">
        <is>
          <t>CP011</t>
        </is>
      </c>
      <c r="H106" s="6" t="inlineStr">
        <is>
          <t>办公软件年费授权</t>
        </is>
      </c>
      <c r="I106" s="7" t="n">
        <v>699</v>
      </c>
      <c r="J106" s="4" t="inlineStr">
        <is>
          <t>10</t>
        </is>
      </c>
      <c r="K106" s="7" t="n">
        <v>6990</v>
      </c>
      <c r="L106" s="4" t="inlineStr">
        <is>
          <t>待付款</t>
        </is>
      </c>
    </row>
    <row r="107">
      <c r="A107" s="8" t="inlineStr">
        <is>
          <t>DD-20260511-0100</t>
        </is>
      </c>
      <c r="B107" s="9" t="n">
        <v>46153</v>
      </c>
      <c r="C107" s="8" t="inlineStr">
        <is>
          <t>KH005</t>
        </is>
      </c>
      <c r="D107" s="10" t="inlineStr">
        <is>
          <t>杭州云图信息</t>
        </is>
      </c>
      <c r="E107" s="8" t="inlineStr">
        <is>
          <t>王强</t>
        </is>
      </c>
      <c r="F107" s="8" t="inlineStr">
        <is>
          <t>华东</t>
        </is>
      </c>
      <c r="G107" s="8" t="inlineStr">
        <is>
          <t>CP011</t>
        </is>
      </c>
      <c r="H107" s="10" t="inlineStr">
        <is>
          <t xml:space="preserve">办公软件年费授权 </t>
        </is>
      </c>
      <c r="I107" s="11" t="n">
        <v>699</v>
      </c>
      <c r="J107" s="8" t="n">
        <v>33</v>
      </c>
      <c r="K107" s="11" t="n">
        <v>23067</v>
      </c>
      <c r="L107" s="8" t="inlineStr">
        <is>
          <t>已完成</t>
        </is>
      </c>
    </row>
    <row r="108">
      <c r="A108" s="4" t="inlineStr">
        <is>
          <t>DD-20260512-0101</t>
        </is>
      </c>
      <c r="B108" s="5" t="n">
        <v>46154</v>
      </c>
      <c r="C108" s="4" t="inlineStr">
        <is>
          <t>KH016</t>
        </is>
      </c>
      <c r="D108" s="6" t="inlineStr">
        <is>
          <t>昆明滇池科技</t>
        </is>
      </c>
      <c r="E108" s="4" t="inlineStr">
        <is>
          <t>赵磊</t>
        </is>
      </c>
      <c r="F108" s="4" t="inlineStr">
        <is>
          <t>西南</t>
        </is>
      </c>
      <c r="G108" s="4" t="inlineStr">
        <is>
          <t>CP006</t>
        </is>
      </c>
      <c r="H108" s="6" t="inlineStr">
        <is>
          <t>显示器 ViewMax 27</t>
        </is>
      </c>
      <c r="I108" s="7" t="n">
        <v>1299</v>
      </c>
      <c r="J108" s="4" t="n">
        <v>11</v>
      </c>
      <c r="K108" s="7" t="n">
        <v>14289</v>
      </c>
      <c r="L108" s="4" t="inlineStr">
        <is>
          <t>已完成</t>
        </is>
      </c>
    </row>
    <row r="109">
      <c r="A109" s="8" t="inlineStr">
        <is>
          <t>DD-20260512-0102</t>
        </is>
      </c>
      <c r="B109" s="9" t="n">
        <v>46154</v>
      </c>
      <c r="C109" s="8" t="inlineStr">
        <is>
          <t>KH014</t>
        </is>
      </c>
      <c r="D109" s="10" t="inlineStr">
        <is>
          <t>宁波海港实业</t>
        </is>
      </c>
      <c r="E109" s="8" t="inlineStr">
        <is>
          <t>王强</t>
        </is>
      </c>
      <c r="F109" s="8" t="inlineStr">
        <is>
          <t>华东</t>
        </is>
      </c>
      <c r="G109" s="8" t="inlineStr">
        <is>
          <t>CP004</t>
        </is>
      </c>
      <c r="H109" s="10" t="inlineStr">
        <is>
          <t>笔记本电脑 TechBook 14</t>
        </is>
      </c>
      <c r="I109" s="11" t="n">
        <v>5699</v>
      </c>
      <c r="J109" s="8" t="n">
        <v>10</v>
      </c>
      <c r="K109" s="11" t="n">
        <v>56990</v>
      </c>
      <c r="L109" s="8" t="inlineStr">
        <is>
          <t>已发货</t>
        </is>
      </c>
    </row>
    <row r="110">
      <c r="A110" s="4" t="inlineStr">
        <is>
          <t>DD-20260512-0103</t>
        </is>
      </c>
      <c r="B110" s="5" t="n">
        <v>46154</v>
      </c>
      <c r="C110" s="4" t="inlineStr">
        <is>
          <t>KH003</t>
        </is>
      </c>
      <c r="D110" s="6" t="inlineStr">
        <is>
          <t>广州启航教育</t>
        </is>
      </c>
      <c r="E110" s="4" t="inlineStr">
        <is>
          <t>张伟</t>
        </is>
      </c>
      <c r="F110" s="4" t="inlineStr">
        <is>
          <t>华南</t>
        </is>
      </c>
      <c r="G110" s="4" t="inlineStr">
        <is>
          <t>CP011</t>
        </is>
      </c>
      <c r="H110" s="6" t="inlineStr">
        <is>
          <t>办公软件年费授权</t>
        </is>
      </c>
      <c r="I110" s="7" t="n">
        <v>699</v>
      </c>
      <c r="J110" s="4" t="n">
        <v>38</v>
      </c>
      <c r="K110" s="7" t="n">
        <v>26562</v>
      </c>
      <c r="L110" s="4" t="inlineStr">
        <is>
          <t>待付款</t>
        </is>
      </c>
    </row>
    <row r="111">
      <c r="A111" s="8" t="inlineStr">
        <is>
          <t>DD-20260512-0104</t>
        </is>
      </c>
      <c r="B111" s="8" t="inlineStr">
        <is>
          <t>2026.5.12</t>
        </is>
      </c>
      <c r="C111" s="8" t="inlineStr">
        <is>
          <t>KH017</t>
        </is>
      </c>
      <c r="D111" s="10" t="inlineStr">
        <is>
          <t>郑州中原物流</t>
        </is>
      </c>
      <c r="E111" s="8" t="inlineStr">
        <is>
          <t>王强</t>
        </is>
      </c>
      <c r="F111" s="8" t="inlineStr">
        <is>
          <t>华中区</t>
        </is>
      </c>
      <c r="G111" s="8" t="inlineStr">
        <is>
          <t>CP005</t>
        </is>
      </c>
      <c r="H111" s="10" t="inlineStr">
        <is>
          <t>台式电脑 PowerDesk 500</t>
        </is>
      </c>
      <c r="I111" s="11" t="n">
        <v>4299</v>
      </c>
      <c r="J111" s="8" t="n">
        <v>5</v>
      </c>
      <c r="K111" s="11" t="n">
        <v>21495</v>
      </c>
      <c r="L111" s="8" t="inlineStr">
        <is>
          <t>已完成</t>
        </is>
      </c>
    </row>
    <row r="112">
      <c r="A112" s="4" t="inlineStr">
        <is>
          <t>DD-20260603-0126</t>
        </is>
      </c>
      <c r="B112" s="5" t="n">
        <v>46176</v>
      </c>
      <c r="C112" s="4" t="inlineStr">
        <is>
          <t>KH009</t>
        </is>
      </c>
      <c r="D112" s="6" t="inlineStr">
        <is>
          <t>天津海河传媒</t>
        </is>
      </c>
      <c r="E112" s="4" t="inlineStr">
        <is>
          <t>孙悦</t>
        </is>
      </c>
      <c r="F112" s="4" t="inlineStr">
        <is>
          <t>华北</t>
        </is>
      </c>
      <c r="G112" s="4" t="inlineStr">
        <is>
          <t>CP002</t>
        </is>
      </c>
      <c r="H112" s="6" t="inlineStr">
        <is>
          <t>多功能一体机 PrintMaster 300</t>
        </is>
      </c>
      <c r="I112" s="7" t="n">
        <v>3599</v>
      </c>
      <c r="J112" s="4" t="n">
        <v>11</v>
      </c>
      <c r="K112" s="7" t="n">
        <v>39589</v>
      </c>
      <c r="L112" s="4" t="inlineStr">
        <is>
          <t>已完成</t>
        </is>
      </c>
    </row>
    <row r="113">
      <c r="A113" s="8" t="inlineStr">
        <is>
          <t>DD-20260513-0105</t>
        </is>
      </c>
      <c r="B113" s="9" t="n">
        <v>46155</v>
      </c>
      <c r="C113" s="8" t="inlineStr">
        <is>
          <t>KH019</t>
        </is>
      </c>
      <c r="D113" s="10" t="inlineStr">
        <is>
          <t>北京中关新材</t>
        </is>
      </c>
      <c r="E113" s="8" t="inlineStr">
        <is>
          <t>孙悦</t>
        </is>
      </c>
      <c r="F113" s="8" t="inlineStr">
        <is>
          <t>华北</t>
        </is>
      </c>
      <c r="G113" s="8" t="inlineStr">
        <is>
          <t>CP009</t>
        </is>
      </c>
      <c r="H113" s="10" t="inlineStr">
        <is>
          <t>激光硒鼓 TonerMax 12A</t>
        </is>
      </c>
      <c r="I113" s="11" t="n">
        <v>385</v>
      </c>
      <c r="J113" s="8" t="n">
        <v>26</v>
      </c>
      <c r="K113" s="11" t="n">
        <v>10010</v>
      </c>
      <c r="L113" s="8" t="inlineStr">
        <is>
          <t>已完成</t>
        </is>
      </c>
    </row>
    <row r="114">
      <c r="A114" s="4" t="inlineStr">
        <is>
          <t>DD-20260514-0106</t>
        </is>
      </c>
      <c r="B114" s="5" t="n">
        <v>46156</v>
      </c>
      <c r="C114" s="4" t="inlineStr">
        <is>
          <t>KH014</t>
        </is>
      </c>
      <c r="D114" s="6" t="inlineStr">
        <is>
          <t>宁波海港实业</t>
        </is>
      </c>
      <c r="E114" s="4" t="inlineStr">
        <is>
          <t>王强</t>
        </is>
      </c>
      <c r="F114" s="4" t="inlineStr">
        <is>
          <t>华东</t>
        </is>
      </c>
      <c r="G114" s="4" t="inlineStr">
        <is>
          <t>CP010</t>
        </is>
      </c>
      <c r="H114" s="6" t="inlineStr">
        <is>
          <t>签字笔盒装（12支）</t>
        </is>
      </c>
      <c r="I114" s="7" t="n">
        <v>45</v>
      </c>
      <c r="J114" s="4" t="inlineStr">
        <is>
          <t>97</t>
        </is>
      </c>
      <c r="K114" s="7" t="n">
        <v>4365</v>
      </c>
      <c r="L114" s="4" t="inlineStr">
        <is>
          <t>已完成</t>
        </is>
      </c>
    </row>
    <row r="115">
      <c r="A115" s="8" t="inlineStr">
        <is>
          <t>DD-20260514-0107</t>
        </is>
      </c>
      <c r="B115" s="9" t="n">
        <v>46156</v>
      </c>
      <c r="C115" s="8" t="inlineStr">
        <is>
          <t>KH012</t>
        </is>
      </c>
      <c r="D115" s="10" t="inlineStr">
        <is>
          <t>长沙麓山科技</t>
        </is>
      </c>
      <c r="E115" s="8" t="inlineStr">
        <is>
          <t>陈静</t>
        </is>
      </c>
      <c r="F115" s="8" t="inlineStr">
        <is>
          <t>华中</t>
        </is>
      </c>
      <c r="G115" s="8" t="inlineStr">
        <is>
          <t>CP012</t>
        </is>
      </c>
      <c r="H115" s="10" t="inlineStr">
        <is>
          <t xml:space="preserve">云存储服务（1TB/年） </t>
        </is>
      </c>
      <c r="I115" s="11" t="n">
        <v>599</v>
      </c>
      <c r="J115" s="8" t="n">
        <v>3</v>
      </c>
      <c r="K115" s="11" t="n">
        <v>1797</v>
      </c>
      <c r="L115" s="8" t="inlineStr">
        <is>
          <t>已完成</t>
        </is>
      </c>
    </row>
    <row r="116">
      <c r="A116" s="4" t="inlineStr">
        <is>
          <t>DD-20260515-0108</t>
        </is>
      </c>
      <c r="B116" s="5" t="n">
        <v>46157</v>
      </c>
      <c r="C116" s="4" t="inlineStr">
        <is>
          <t>KH006</t>
        </is>
      </c>
      <c r="D116" s="6" t="inlineStr">
        <is>
          <t>成都天府商贸</t>
        </is>
      </c>
      <c r="E116" s="4" t="inlineStr">
        <is>
          <t>赵磊</t>
        </is>
      </c>
      <c r="F116" s="4" t="inlineStr">
        <is>
          <t>西南</t>
        </is>
      </c>
      <c r="G116" s="4" t="inlineStr">
        <is>
          <t>CP008</t>
        </is>
      </c>
      <c r="H116" s="6" t="inlineStr">
        <is>
          <t>A4复印纸（5包/箱）</t>
        </is>
      </c>
      <c r="I116" s="7" t="n">
        <v>128</v>
      </c>
      <c r="J116" s="4" t="n">
        <v>69</v>
      </c>
      <c r="K116" s="12" t="inlineStr">
        <is>
          <t>¥8,832.00</t>
        </is>
      </c>
      <c r="L116" s="4" t="inlineStr">
        <is>
          <t>已完成</t>
        </is>
      </c>
    </row>
    <row r="117">
      <c r="A117" s="8" t="inlineStr">
        <is>
          <t>DD-20260518-0109</t>
        </is>
      </c>
      <c r="B117" s="8" t="inlineStr">
        <is>
          <t>2026年5月18日</t>
        </is>
      </c>
      <c r="C117" s="8" t="inlineStr">
        <is>
          <t>KH005</t>
        </is>
      </c>
      <c r="D117" s="10" t="inlineStr">
        <is>
          <t>杭州云图信息</t>
        </is>
      </c>
      <c r="E117" s="8" t="inlineStr">
        <is>
          <t>孙悦</t>
        </is>
      </c>
      <c r="F117" s="8" t="inlineStr">
        <is>
          <t>华东区</t>
        </is>
      </c>
      <c r="G117" s="8" t="inlineStr">
        <is>
          <t>CP010</t>
        </is>
      </c>
      <c r="H117" s="10" t="inlineStr">
        <is>
          <t>签字笔盒装（12支）</t>
        </is>
      </c>
      <c r="I117" s="11" t="n">
        <v>45</v>
      </c>
      <c r="J117" s="8" t="n">
        <v>15</v>
      </c>
      <c r="K117" s="11" t="n">
        <v>675</v>
      </c>
      <c r="L117" s="8" t="inlineStr">
        <is>
          <t>已完成</t>
        </is>
      </c>
    </row>
    <row r="118">
      <c r="A118" s="4" t="inlineStr">
        <is>
          <t>DD-20260520-0110</t>
        </is>
      </c>
      <c r="B118" s="5" t="n">
        <v>46162</v>
      </c>
      <c r="C118" s="4" t="inlineStr">
        <is>
          <t>KH002</t>
        </is>
      </c>
      <c r="D118" s="6" t="inlineStr">
        <is>
          <t>上海锦程贸易</t>
        </is>
      </c>
      <c r="E118" s="4" t="inlineStr">
        <is>
          <t>陈静</t>
        </is>
      </c>
      <c r="F118" s="4" t="inlineStr">
        <is>
          <t>华东区</t>
        </is>
      </c>
      <c r="G118" s="4" t="inlineStr">
        <is>
          <t>CP008</t>
        </is>
      </c>
      <c r="H118" s="6" t="inlineStr">
        <is>
          <t>A4复印纸（5包/箱）</t>
        </is>
      </c>
      <c r="I118" s="7" t="n">
        <v>128</v>
      </c>
      <c r="J118" s="4" t="n">
        <v>100</v>
      </c>
      <c r="K118" s="7" t="n">
        <v>12800</v>
      </c>
      <c r="L118" s="4" t="inlineStr">
        <is>
          <t>已完成</t>
        </is>
      </c>
    </row>
    <row r="119">
      <c r="A119" s="8" t="inlineStr">
        <is>
          <t>DD-20260521-0111</t>
        </is>
      </c>
      <c r="B119" s="8" t="inlineStr">
        <is>
          <t>2026年5月21日</t>
        </is>
      </c>
      <c r="C119" s="8" t="inlineStr">
        <is>
          <t>KH001</t>
        </is>
      </c>
      <c r="D119" s="10" t="inlineStr">
        <is>
          <t>北京华信科技</t>
        </is>
      </c>
      <c r="E119" s="8" t="inlineStr">
        <is>
          <t>李娜</t>
        </is>
      </c>
      <c r="F119" s="8" t="inlineStr">
        <is>
          <t>华北</t>
        </is>
      </c>
      <c r="G119" s="8" t="inlineStr">
        <is>
          <t>CP008</t>
        </is>
      </c>
      <c r="H119" s="10" t="inlineStr">
        <is>
          <t>A4复印纸（5包/箱）</t>
        </is>
      </c>
      <c r="I119" s="11" t="n">
        <v>128</v>
      </c>
      <c r="J119" s="8" t="n">
        <v>114</v>
      </c>
      <c r="K119" s="11" t="n">
        <v>14592</v>
      </c>
      <c r="L119" s="8" t="inlineStr">
        <is>
          <t>已完成</t>
        </is>
      </c>
    </row>
    <row r="120">
      <c r="A120" s="4" t="inlineStr">
        <is>
          <t>DD-20260521-0112</t>
        </is>
      </c>
      <c r="B120" s="5" t="n">
        <v>46163</v>
      </c>
      <c r="C120" s="4" t="inlineStr">
        <is>
          <t>KH008</t>
        </is>
      </c>
      <c r="D120" s="6" t="inlineStr">
        <is>
          <t>南京紫金山软件园运营</t>
        </is>
      </c>
      <c r="E120" s="4" t="inlineStr">
        <is>
          <t>刘洋</t>
        </is>
      </c>
      <c r="F120" s="4" t="inlineStr">
        <is>
          <t>华东</t>
        </is>
      </c>
      <c r="G120" s="4" t="inlineStr">
        <is>
          <t>CP011</t>
        </is>
      </c>
      <c r="H120" s="6" t="inlineStr">
        <is>
          <t>办公软件年费授权</t>
        </is>
      </c>
      <c r="I120" s="7" t="n">
        <v>699</v>
      </c>
      <c r="J120" s="4" t="n">
        <v>12</v>
      </c>
      <c r="K120" s="7" t="n">
        <v>8388</v>
      </c>
      <c r="L120" s="4" t="inlineStr">
        <is>
          <t>已完成</t>
        </is>
      </c>
    </row>
    <row r="121">
      <c r="A121" s="8" t="inlineStr">
        <is>
          <t>DD-20260522-0113</t>
        </is>
      </c>
      <c r="B121" s="9" t="n">
        <v>46164</v>
      </c>
      <c r="C121" s="8" t="inlineStr">
        <is>
          <t>KH019</t>
        </is>
      </c>
      <c r="D121" s="10" t="inlineStr">
        <is>
          <t>北京中关新材</t>
        </is>
      </c>
      <c r="E121" s="8" t="inlineStr">
        <is>
          <t>赵磊</t>
        </is>
      </c>
      <c r="F121" s="8" t="inlineStr">
        <is>
          <t>华北</t>
        </is>
      </c>
      <c r="G121" s="8" t="inlineStr">
        <is>
          <t>CP004</t>
        </is>
      </c>
      <c r="H121" s="10" t="inlineStr">
        <is>
          <t>笔记本电脑 TechBook 14</t>
        </is>
      </c>
      <c r="I121" s="11" t="n">
        <v>5699</v>
      </c>
      <c r="J121" s="8" t="n">
        <v>3</v>
      </c>
      <c r="K121" s="11" t="n">
        <v>17097</v>
      </c>
      <c r="L121" s="8" t="inlineStr">
        <is>
          <t>已发货</t>
        </is>
      </c>
    </row>
    <row r="122">
      <c r="A122" s="4" t="inlineStr">
        <is>
          <t>DD-20260523-0114</t>
        </is>
      </c>
      <c r="B122" s="5" t="n">
        <v>46165</v>
      </c>
      <c r="C122" s="4" t="inlineStr">
        <is>
          <t>KH009</t>
        </is>
      </c>
      <c r="D122" s="6" t="inlineStr">
        <is>
          <t>天津海河传媒</t>
        </is>
      </c>
      <c r="E122" s="4" t="inlineStr">
        <is>
          <t>陈静</t>
        </is>
      </c>
      <c r="F122" s="4" t="inlineStr">
        <is>
          <t>华北</t>
        </is>
      </c>
      <c r="G122" s="4" t="inlineStr">
        <is>
          <t>CP006</t>
        </is>
      </c>
      <c r="H122" s="6" t="inlineStr">
        <is>
          <t>显示器 ViewMax 27</t>
        </is>
      </c>
      <c r="I122" s="7" t="n">
        <v>1299</v>
      </c>
      <c r="J122" s="4" t="n">
        <v>4</v>
      </c>
      <c r="K122" s="7" t="n">
        <v>5196</v>
      </c>
      <c r="L122" s="4" t="inlineStr">
        <is>
          <t>已发货</t>
        </is>
      </c>
    </row>
    <row r="123">
      <c r="A123" s="8" t="inlineStr">
        <is>
          <t>DD-20260523-0115</t>
        </is>
      </c>
      <c r="B123" s="9" t="n">
        <v>46165</v>
      </c>
      <c r="C123" s="8" t="inlineStr">
        <is>
          <t>KH008</t>
        </is>
      </c>
      <c r="D123" s="10" t="inlineStr">
        <is>
          <t>南京紫金山软件园运营</t>
        </is>
      </c>
      <c r="E123" s="8" t="inlineStr">
        <is>
          <t>孙悦</t>
        </is>
      </c>
      <c r="F123" s="8" t="inlineStr">
        <is>
          <t>华东</t>
        </is>
      </c>
      <c r="G123" s="8" t="inlineStr">
        <is>
          <t>CP012</t>
        </is>
      </c>
      <c r="H123" s="10" t="inlineStr">
        <is>
          <t>云存储服务（1TB/年）</t>
        </is>
      </c>
      <c r="I123" s="11" t="n">
        <v>599</v>
      </c>
      <c r="J123" s="8" t="n">
        <v>40</v>
      </c>
      <c r="K123" s="11" t="n">
        <v>23960</v>
      </c>
      <c r="L123" s="8" t="inlineStr">
        <is>
          <t>已完成</t>
        </is>
      </c>
    </row>
    <row r="124">
      <c r="A124" s="4" t="inlineStr">
        <is>
          <t>DD-20260523-0116</t>
        </is>
      </c>
      <c r="B124" s="4" t="inlineStr">
        <is>
          <t>2026年5月23日</t>
        </is>
      </c>
      <c r="C124" s="4" t="inlineStr">
        <is>
          <t>KH018</t>
        </is>
      </c>
      <c r="D124" s="6" t="inlineStr">
        <is>
          <t>厦门鹭岛文创</t>
        </is>
      </c>
      <c r="E124" s="4" t="inlineStr">
        <is>
          <t>李娜</t>
        </is>
      </c>
      <c r="F124" s="4" t="inlineStr">
        <is>
          <t>华南</t>
        </is>
      </c>
      <c r="G124" s="4" t="inlineStr">
        <is>
          <t>CP010</t>
        </is>
      </c>
      <c r="H124" s="6" t="inlineStr">
        <is>
          <t>签字笔盒装（12支）</t>
        </is>
      </c>
      <c r="I124" s="7" t="n">
        <v>45</v>
      </c>
      <c r="J124" s="4" t="n">
        <v>24</v>
      </c>
      <c r="K124" s="7" t="n">
        <v>1080</v>
      </c>
      <c r="L124" s="4" t="inlineStr">
        <is>
          <t>已完成</t>
        </is>
      </c>
    </row>
    <row r="125">
      <c r="A125" s="8" t="inlineStr">
        <is>
          <t>DD-20260524-0117</t>
        </is>
      </c>
      <c r="B125" s="9" t="n">
        <v>46166</v>
      </c>
      <c r="C125" s="8" t="inlineStr">
        <is>
          <t>KH013</t>
        </is>
      </c>
      <c r="D125" s="10" t="inlineStr">
        <is>
          <t>石家庄振华商贸</t>
        </is>
      </c>
      <c r="E125" s="8" t="inlineStr">
        <is>
          <t>王强</t>
        </is>
      </c>
      <c r="F125" s="8" t="inlineStr">
        <is>
          <t>华北</t>
        </is>
      </c>
      <c r="G125" s="8" t="inlineStr">
        <is>
          <t>CP009</t>
        </is>
      </c>
      <c r="H125" s="10" t="inlineStr">
        <is>
          <t>激光硒鼓 TonerMax 12A</t>
        </is>
      </c>
      <c r="I125" s="11" t="n">
        <v>385</v>
      </c>
      <c r="J125" s="8" t="n">
        <v>24</v>
      </c>
      <c r="K125" s="13" t="inlineStr">
        <is>
          <t>¥9,240.00</t>
        </is>
      </c>
      <c r="L125" s="8" t="inlineStr">
        <is>
          <t>已完成</t>
        </is>
      </c>
    </row>
    <row r="126">
      <c r="A126" s="4" t="inlineStr">
        <is>
          <t>DD-20260525-0118</t>
        </is>
      </c>
      <c r="B126" s="5" t="n">
        <v>46167</v>
      </c>
      <c r="C126" s="4" t="inlineStr">
        <is>
          <t>KH008</t>
        </is>
      </c>
      <c r="D126" s="6" t="inlineStr">
        <is>
          <t>南京紫金山软件园运营</t>
        </is>
      </c>
      <c r="E126" s="4" t="inlineStr">
        <is>
          <t>张伟</t>
        </is>
      </c>
      <c r="F126" s="4" t="inlineStr">
        <is>
          <t>华东</t>
        </is>
      </c>
      <c r="G126" s="4" t="inlineStr">
        <is>
          <t>CP011</t>
        </is>
      </c>
      <c r="H126" s="6" t="inlineStr">
        <is>
          <t>办公软件年费授权</t>
        </is>
      </c>
      <c r="I126" s="7" t="n">
        <v>699</v>
      </c>
      <c r="J126" s="4" t="n">
        <v>29</v>
      </c>
      <c r="K126" s="7" t="n">
        <v>20271</v>
      </c>
      <c r="L126" s="4" t="inlineStr">
        <is>
          <t>已完成</t>
        </is>
      </c>
    </row>
    <row r="127">
      <c r="A127" s="8" t="inlineStr">
        <is>
          <t>DD-20260527-0119</t>
        </is>
      </c>
      <c r="B127" s="8" t="inlineStr">
        <is>
          <t>2026.5.27</t>
        </is>
      </c>
      <c r="C127" s="8" t="inlineStr">
        <is>
          <t>KH003</t>
        </is>
      </c>
      <c r="D127" s="10" t="inlineStr">
        <is>
          <t>广州启航教育</t>
        </is>
      </c>
      <c r="E127" s="8" t="inlineStr">
        <is>
          <t>陈静</t>
        </is>
      </c>
      <c r="F127" s="8" t="inlineStr">
        <is>
          <t>华南</t>
        </is>
      </c>
      <c r="G127" s="8" t="inlineStr">
        <is>
          <t>CP011</t>
        </is>
      </c>
      <c r="H127" s="10" t="inlineStr">
        <is>
          <t>办公软件年费授权</t>
        </is>
      </c>
      <c r="I127" s="11" t="n">
        <v>699</v>
      </c>
      <c r="J127" s="8" t="n">
        <v>19</v>
      </c>
      <c r="K127" s="11" t="n">
        <v>13281</v>
      </c>
      <c r="L127" s="8" t="inlineStr">
        <is>
          <t>已发货</t>
        </is>
      </c>
    </row>
    <row r="128">
      <c r="A128" s="4" t="inlineStr">
        <is>
          <t>DD-20260528-0120</t>
        </is>
      </c>
      <c r="B128" s="5" t="n">
        <v>46170</v>
      </c>
      <c r="C128" s="4" t="inlineStr">
        <is>
          <t>KH007</t>
        </is>
      </c>
      <c r="D128" s="6" t="inlineStr">
        <is>
          <t>武汉长江实业</t>
        </is>
      </c>
      <c r="E128" s="4" t="inlineStr">
        <is>
          <t>陈静</t>
        </is>
      </c>
      <c r="F128" s="4" t="inlineStr">
        <is>
          <t xml:space="preserve"> 华中</t>
        </is>
      </c>
      <c r="G128" s="4" t="inlineStr">
        <is>
          <t>CP008</t>
        </is>
      </c>
      <c r="H128" s="6" t="inlineStr">
        <is>
          <t>A4复印纸（5包/箱）</t>
        </is>
      </c>
      <c r="I128" s="7" t="n">
        <v>128</v>
      </c>
      <c r="J128" s="4" t="inlineStr">
        <is>
          <t>68</t>
        </is>
      </c>
      <c r="K128" s="7" t="n">
        <v>8704</v>
      </c>
      <c r="L128" s="4" t="inlineStr">
        <is>
          <t>待付款</t>
        </is>
      </c>
    </row>
    <row r="129">
      <c r="A129" s="8" t="inlineStr">
        <is>
          <t>DD-20260528-0121</t>
        </is>
      </c>
      <c r="B129" s="9" t="n">
        <v>46170</v>
      </c>
      <c r="C129" s="8" t="inlineStr">
        <is>
          <t>KH010</t>
        </is>
      </c>
      <c r="D129" s="10" t="inlineStr">
        <is>
          <t>苏州创智科技</t>
        </is>
      </c>
      <c r="E129" s="8" t="inlineStr">
        <is>
          <t>刘洋</t>
        </is>
      </c>
      <c r="F129" s="8" t="inlineStr">
        <is>
          <t>华东</t>
        </is>
      </c>
      <c r="G129" s="8" t="inlineStr">
        <is>
          <t>CP003</t>
        </is>
      </c>
      <c r="H129" s="10" t="inlineStr">
        <is>
          <t>碎纸机 SafeCut S8</t>
        </is>
      </c>
      <c r="I129" s="11" t="n">
        <v>899</v>
      </c>
      <c r="J129" s="8" t="n">
        <v>3</v>
      </c>
      <c r="K129" s="11" t="n">
        <v>2697</v>
      </c>
      <c r="L129" s="8" t="inlineStr">
        <is>
          <t>已取消</t>
        </is>
      </c>
    </row>
    <row r="130">
      <c r="A130" s="4" t="inlineStr">
        <is>
          <t>DD-20260530-0122</t>
        </is>
      </c>
      <c r="B130" s="5" t="n">
        <v>46172</v>
      </c>
      <c r="C130" s="4" t="inlineStr">
        <is>
          <t>KH009</t>
        </is>
      </c>
      <c r="D130" s="6" t="inlineStr">
        <is>
          <t>天津海河传媒</t>
        </is>
      </c>
      <c r="E130" s="4" t="inlineStr">
        <is>
          <t>张伟</t>
        </is>
      </c>
      <c r="F130" s="4" t="inlineStr">
        <is>
          <t xml:space="preserve"> 华北</t>
        </is>
      </c>
      <c r="G130" s="4" t="inlineStr">
        <is>
          <t>CP009</t>
        </is>
      </c>
      <c r="H130" s="6" t="inlineStr">
        <is>
          <t>激光硒鼓 TonerMax 12A</t>
        </is>
      </c>
      <c r="I130" s="7" t="n">
        <v>385</v>
      </c>
      <c r="J130" s="4" t="n">
        <v>85</v>
      </c>
      <c r="K130" s="7" t="n">
        <v>32725</v>
      </c>
      <c r="L130" s="4" t="inlineStr">
        <is>
          <t>已取消</t>
        </is>
      </c>
    </row>
    <row r="131">
      <c r="A131" s="8" t="inlineStr">
        <is>
          <t>DD-20260726-0172</t>
        </is>
      </c>
      <c r="B131" s="9" t="n">
        <v>46229</v>
      </c>
      <c r="C131" s="8" t="inlineStr">
        <is>
          <t>KH008</t>
        </is>
      </c>
      <c r="D131" s="10" t="inlineStr">
        <is>
          <t>南京紫金山软件园运营</t>
        </is>
      </c>
      <c r="E131" s="8" t="inlineStr">
        <is>
          <t>赵磊</t>
        </is>
      </c>
      <c r="F131" s="8" t="inlineStr">
        <is>
          <t>华东</t>
        </is>
      </c>
      <c r="G131" s="8" t="inlineStr">
        <is>
          <t>CP008</t>
        </is>
      </c>
      <c r="H131" s="10" t="inlineStr">
        <is>
          <t>A4复印纸（5包/箱）</t>
        </is>
      </c>
      <c r="I131" s="11" t="n">
        <v>128</v>
      </c>
      <c r="J131" s="8" t="n">
        <v>66</v>
      </c>
      <c r="K131" s="11" t="n">
        <v>8448</v>
      </c>
      <c r="L131" s="8" t="inlineStr">
        <is>
          <t>已发货</t>
        </is>
      </c>
    </row>
    <row r="132">
      <c r="A132" s="4" t="inlineStr">
        <is>
          <t>DD-20260531-0123</t>
        </is>
      </c>
      <c r="B132" s="5" t="n">
        <v>46173</v>
      </c>
      <c r="C132" s="4" t="inlineStr">
        <is>
          <t>KH013</t>
        </is>
      </c>
      <c r="D132" s="6" t="inlineStr">
        <is>
          <t>石家庄振华商贸</t>
        </is>
      </c>
      <c r="E132" s="4" t="inlineStr">
        <is>
          <t>李娜</t>
        </is>
      </c>
      <c r="F132" s="4" t="inlineStr">
        <is>
          <t>华北区</t>
        </is>
      </c>
      <c r="G132" s="4" t="inlineStr">
        <is>
          <t>CP006</t>
        </is>
      </c>
      <c r="H132" s="6" t="inlineStr">
        <is>
          <t>显示器 ViewMax 27</t>
        </is>
      </c>
      <c r="I132" s="7" t="n">
        <v>1299</v>
      </c>
      <c r="J132" s="4" t="inlineStr">
        <is>
          <t>5</t>
        </is>
      </c>
      <c r="K132" s="7" t="n">
        <v>6495</v>
      </c>
      <c r="L132" s="4" t="inlineStr">
        <is>
          <t>已完成</t>
        </is>
      </c>
    </row>
    <row r="133">
      <c r="A133" s="8" t="inlineStr">
        <is>
          <t>DD-20260602-0124</t>
        </is>
      </c>
      <c r="B133" s="9" t="n">
        <v>46175</v>
      </c>
      <c r="C133" s="8" t="inlineStr">
        <is>
          <t>KH006</t>
        </is>
      </c>
      <c r="D133" s="10" t="inlineStr">
        <is>
          <t>成都天府商贸</t>
        </is>
      </c>
      <c r="E133" s="8" t="inlineStr">
        <is>
          <t>李娜</t>
        </is>
      </c>
      <c r="F133" s="8" t="inlineStr">
        <is>
          <t>西南</t>
        </is>
      </c>
      <c r="G133" s="8" t="inlineStr">
        <is>
          <t>CP011</t>
        </is>
      </c>
      <c r="H133" s="10" t="inlineStr">
        <is>
          <t>办公软件年费授权</t>
        </is>
      </c>
      <c r="I133" s="11" t="n">
        <v>699</v>
      </c>
      <c r="J133" s="8" t="n">
        <v>35</v>
      </c>
      <c r="K133" s="11" t="n">
        <v>24465</v>
      </c>
      <c r="L133" s="8" t="inlineStr">
        <is>
          <t>待付款</t>
        </is>
      </c>
    </row>
    <row r="134">
      <c r="A134" s="4" t="inlineStr">
        <is>
          <t>DD-20260603-0125</t>
        </is>
      </c>
      <c r="B134" s="5" t="n">
        <v>46176</v>
      </c>
      <c r="C134" s="4" t="inlineStr">
        <is>
          <t>KH005</t>
        </is>
      </c>
      <c r="D134" s="6" t="inlineStr">
        <is>
          <t>杭州云图信息</t>
        </is>
      </c>
      <c r="E134" s="4" t="inlineStr">
        <is>
          <t>李娜</t>
        </is>
      </c>
      <c r="F134" s="4" t="inlineStr">
        <is>
          <t>华东</t>
        </is>
      </c>
      <c r="G134" s="4" t="inlineStr">
        <is>
          <t>CP002</t>
        </is>
      </c>
      <c r="H134" s="6" t="inlineStr">
        <is>
          <t xml:space="preserve">多功能一体机 PrintMaster 300 </t>
        </is>
      </c>
      <c r="I134" s="7" t="n">
        <v>3599</v>
      </c>
      <c r="J134" s="4" t="n">
        <v>1</v>
      </c>
      <c r="K134" s="7" t="n">
        <v>3599</v>
      </c>
      <c r="L134" s="4" t="inlineStr">
        <is>
          <t>已完成</t>
        </is>
      </c>
    </row>
    <row r="135">
      <c r="A135" s="8" t="inlineStr">
        <is>
          <t>DD-20260603-0126</t>
        </is>
      </c>
      <c r="B135" s="9" t="n">
        <v>46176</v>
      </c>
      <c r="C135" s="8" t="inlineStr">
        <is>
          <t>KH009</t>
        </is>
      </c>
      <c r="D135" s="10" t="inlineStr">
        <is>
          <t>天津海河传媒</t>
        </is>
      </c>
      <c r="E135" s="8" t="inlineStr">
        <is>
          <t>孙悦</t>
        </is>
      </c>
      <c r="F135" s="8" t="inlineStr">
        <is>
          <t>华北</t>
        </is>
      </c>
      <c r="G135" s="8" t="inlineStr">
        <is>
          <t>CP002</t>
        </is>
      </c>
      <c r="H135" s="10" t="inlineStr">
        <is>
          <t>多功能一体机 PrintMaster 300</t>
        </is>
      </c>
      <c r="I135" s="11" t="n">
        <v>3599</v>
      </c>
      <c r="J135" s="8" t="n">
        <v>8</v>
      </c>
      <c r="K135" s="11" t="n">
        <v>28792</v>
      </c>
      <c r="L135" s="8" t="inlineStr">
        <is>
          <t>已完成</t>
        </is>
      </c>
    </row>
    <row r="136">
      <c r="A136" s="4" t="inlineStr">
        <is>
          <t>DD-20260607-0127</t>
        </is>
      </c>
      <c r="B136" s="5" t="n">
        <v>46180</v>
      </c>
      <c r="C136" s="4" t="inlineStr">
        <is>
          <t>KH003</t>
        </is>
      </c>
      <c r="D136" s="6" t="inlineStr">
        <is>
          <t>广州启航教育</t>
        </is>
      </c>
      <c r="E136" s="4" t="inlineStr">
        <is>
          <t>李娜</t>
        </is>
      </c>
      <c r="F136" s="4" t="inlineStr">
        <is>
          <t>华南</t>
        </is>
      </c>
      <c r="G136" s="4" t="inlineStr">
        <is>
          <t>CP006</t>
        </is>
      </c>
      <c r="H136" s="6" t="inlineStr">
        <is>
          <t>显示器 ViewMax 27</t>
        </is>
      </c>
      <c r="I136" s="7" t="n">
        <v>1299</v>
      </c>
      <c r="J136" s="4" t="n">
        <v>1</v>
      </c>
      <c r="K136" s="7" t="n">
        <v>1299</v>
      </c>
      <c r="L136" s="4" t="inlineStr">
        <is>
          <t>已完成</t>
        </is>
      </c>
    </row>
    <row r="137">
      <c r="A137" s="8" t="inlineStr">
        <is>
          <t>DD-20260602-0124</t>
        </is>
      </c>
      <c r="B137" s="9" t="n">
        <v>46175</v>
      </c>
      <c r="C137" s="8" t="inlineStr">
        <is>
          <t>KH006</t>
        </is>
      </c>
      <c r="D137" s="10" t="inlineStr">
        <is>
          <t>成都天府商贸</t>
        </is>
      </c>
      <c r="E137" s="8" t="inlineStr">
        <is>
          <t>李娜</t>
        </is>
      </c>
      <c r="F137" s="8" t="inlineStr">
        <is>
          <t>西南</t>
        </is>
      </c>
      <c r="G137" s="8" t="inlineStr">
        <is>
          <t>CP011</t>
        </is>
      </c>
      <c r="H137" s="10" t="inlineStr">
        <is>
          <t>办公软件年费授权</t>
        </is>
      </c>
      <c r="I137" s="11" t="n">
        <v>699</v>
      </c>
      <c r="J137" s="8" t="n">
        <v>35</v>
      </c>
      <c r="K137" s="11" t="n">
        <v>24465</v>
      </c>
      <c r="L137" s="8" t="inlineStr">
        <is>
          <t>待付款</t>
        </is>
      </c>
    </row>
    <row r="138">
      <c r="A138" s="4" t="inlineStr">
        <is>
          <t>DD-20260609-0128</t>
        </is>
      </c>
      <c r="B138" s="5" t="n">
        <v>46182</v>
      </c>
      <c r="C138" s="4" t="inlineStr">
        <is>
          <t>KH003</t>
        </is>
      </c>
      <c r="D138" s="6" t="inlineStr">
        <is>
          <t>广州启航教育</t>
        </is>
      </c>
      <c r="E138" s="4" t="inlineStr">
        <is>
          <t>张伟</t>
        </is>
      </c>
      <c r="F138" s="4" t="inlineStr">
        <is>
          <t>华南</t>
        </is>
      </c>
      <c r="G138" s="4" t="inlineStr">
        <is>
          <t>CP011</t>
        </is>
      </c>
      <c r="H138" s="6" t="inlineStr">
        <is>
          <t>办公软件年费授权</t>
        </is>
      </c>
      <c r="I138" s="7" t="n">
        <v>699</v>
      </c>
      <c r="J138" s="4" t="n">
        <v>3</v>
      </c>
      <c r="K138" s="7" t="n">
        <v>2097</v>
      </c>
      <c r="L138" s="4" t="inlineStr">
        <is>
          <t>已发货</t>
        </is>
      </c>
    </row>
    <row r="139">
      <c r="A139" s="8" t="inlineStr">
        <is>
          <t>DD-20260609-0129</t>
        </is>
      </c>
      <c r="B139" s="9" t="n">
        <v>46182</v>
      </c>
      <c r="C139" s="8" t="inlineStr">
        <is>
          <t>KH001</t>
        </is>
      </c>
      <c r="D139" s="10" t="inlineStr">
        <is>
          <t>北京华信科技</t>
        </is>
      </c>
      <c r="E139" s="8" t="inlineStr">
        <is>
          <t>杨帆</t>
        </is>
      </c>
      <c r="F139" s="8" t="inlineStr">
        <is>
          <t>华北</t>
        </is>
      </c>
      <c r="G139" s="8" t="inlineStr">
        <is>
          <t>CP009</t>
        </is>
      </c>
      <c r="H139" s="10" t="inlineStr">
        <is>
          <t>激光硒鼓 TonerMax 12A</t>
        </is>
      </c>
      <c r="I139" s="11" t="n">
        <v>385</v>
      </c>
      <c r="J139" s="8" t="n">
        <v>25</v>
      </c>
      <c r="K139" s="11" t="n">
        <v>9625</v>
      </c>
      <c r="L139" s="8" t="inlineStr">
        <is>
          <t>已发货</t>
        </is>
      </c>
    </row>
    <row r="140">
      <c r="A140" s="4" t="inlineStr">
        <is>
          <t>DD-20260610-0130</t>
        </is>
      </c>
      <c r="B140" s="5" t="n">
        <v>46183</v>
      </c>
      <c r="C140" s="4" t="inlineStr">
        <is>
          <t>KH005</t>
        </is>
      </c>
      <c r="D140" s="6" t="inlineStr">
        <is>
          <t>杭州云图信息</t>
        </is>
      </c>
      <c r="E140" s="4" t="inlineStr">
        <is>
          <t>孙悦</t>
        </is>
      </c>
      <c r="F140" s="4" t="inlineStr">
        <is>
          <t>华东</t>
        </is>
      </c>
      <c r="G140" s="4" t="inlineStr">
        <is>
          <t>CP008</t>
        </is>
      </c>
      <c r="H140" s="6" t="inlineStr">
        <is>
          <t>A4复印纸（5包/箱）</t>
        </is>
      </c>
      <c r="I140" s="7" t="n">
        <v>128</v>
      </c>
      <c r="J140" s="4" t="n">
        <v>51</v>
      </c>
      <c r="K140" s="7" t="n">
        <v>6528</v>
      </c>
      <c r="L140" s="4" t="inlineStr">
        <is>
          <t>已发货</t>
        </is>
      </c>
    </row>
    <row r="141">
      <c r="A141" s="8" t="inlineStr">
        <is>
          <t>DD-20260613-0131</t>
        </is>
      </c>
      <c r="B141" s="9" t="n">
        <v>46186</v>
      </c>
      <c r="C141" s="8" t="inlineStr">
        <is>
          <t>KH007</t>
        </is>
      </c>
      <c r="D141" s="10" t="inlineStr">
        <is>
          <t>武汉长江实业</t>
        </is>
      </c>
      <c r="E141" s="8" t="inlineStr">
        <is>
          <t>杨帆</t>
        </is>
      </c>
      <c r="F141" s="8" t="inlineStr">
        <is>
          <t>华中</t>
        </is>
      </c>
      <c r="G141" s="8" t="inlineStr">
        <is>
          <t>CP008</t>
        </is>
      </c>
      <c r="H141" s="10" t="inlineStr">
        <is>
          <t>A4复印纸（5包/箱）</t>
        </is>
      </c>
      <c r="I141" s="11" t="n">
        <v>128</v>
      </c>
      <c r="J141" s="8" t="n">
        <v>118</v>
      </c>
      <c r="K141" s="11" t="n">
        <v>15104</v>
      </c>
      <c r="L141" s="8" t="inlineStr">
        <is>
          <t>已完成</t>
        </is>
      </c>
    </row>
    <row r="142">
      <c r="A142" s="4" t="inlineStr">
        <is>
          <t>DD-20260615-0132</t>
        </is>
      </c>
      <c r="B142" s="5" t="n">
        <v>46188</v>
      </c>
      <c r="C142" s="4" t="inlineStr">
        <is>
          <t>KH010</t>
        </is>
      </c>
      <c r="D142" s="6" t="inlineStr">
        <is>
          <t>苏州创智科技</t>
        </is>
      </c>
      <c r="E142" s="4" t="inlineStr">
        <is>
          <t>刘洋</t>
        </is>
      </c>
      <c r="F142" s="4" t="inlineStr">
        <is>
          <t>华东</t>
        </is>
      </c>
      <c r="G142" s="4" t="inlineStr">
        <is>
          <t>CP009</t>
        </is>
      </c>
      <c r="H142" s="6" t="inlineStr">
        <is>
          <t xml:space="preserve">激光硒鼓 TonerMax 12A </t>
        </is>
      </c>
      <c r="I142" s="7" t="n">
        <v>385</v>
      </c>
      <c r="J142" s="4" t="n">
        <v>66</v>
      </c>
      <c r="K142" s="7" t="n">
        <v>25410</v>
      </c>
      <c r="L142" s="4" t="inlineStr">
        <is>
          <t>已发货</t>
        </is>
      </c>
    </row>
    <row r="143">
      <c r="A143" s="8" t="inlineStr">
        <is>
          <t>DD-20260615-0133</t>
        </is>
      </c>
      <c r="B143" s="9" t="n">
        <v>46188</v>
      </c>
      <c r="C143" s="8" t="inlineStr">
        <is>
          <t>KH011</t>
        </is>
      </c>
      <c r="D143" s="10" t="inlineStr">
        <is>
          <t>重庆山城办公设备</t>
        </is>
      </c>
      <c r="E143" s="8" t="inlineStr">
        <is>
          <t>张伟</t>
        </is>
      </c>
      <c r="F143" s="8" t="inlineStr">
        <is>
          <t>西南</t>
        </is>
      </c>
      <c r="G143" s="8" t="inlineStr">
        <is>
          <t>CP009</t>
        </is>
      </c>
      <c r="H143" s="10" t="inlineStr">
        <is>
          <t>激光硒鼓 TonerMax 12A</t>
        </is>
      </c>
      <c r="I143" s="11" t="n">
        <v>385</v>
      </c>
      <c r="J143" s="8" t="n">
        <v>71</v>
      </c>
      <c r="K143" s="13" t="inlineStr">
        <is>
          <t>¥27,335.00</t>
        </is>
      </c>
      <c r="L143" s="8" t="inlineStr">
        <is>
          <t>已完成</t>
        </is>
      </c>
    </row>
    <row r="144">
      <c r="A144" s="4" t="inlineStr">
        <is>
          <t>DD-20260615-0134</t>
        </is>
      </c>
      <c r="B144" s="5" t="n">
        <v>46188</v>
      </c>
      <c r="C144" s="4" t="inlineStr">
        <is>
          <t>KH004</t>
        </is>
      </c>
      <c r="D144" s="6" t="inlineStr">
        <is>
          <t>深圳蓝鲸网络</t>
        </is>
      </c>
      <c r="E144" s="4" t="inlineStr">
        <is>
          <t>孙悦</t>
        </is>
      </c>
      <c r="F144" s="4" t="inlineStr">
        <is>
          <t>华南</t>
        </is>
      </c>
      <c r="G144" s="4" t="inlineStr">
        <is>
          <t>CP010</t>
        </is>
      </c>
      <c r="H144" s="6" t="inlineStr">
        <is>
          <t>签字笔盒装（12支）</t>
        </is>
      </c>
      <c r="I144" s="7" t="n">
        <v>45</v>
      </c>
      <c r="J144" s="4" t="n">
        <v>77</v>
      </c>
      <c r="K144" s="7" t="n">
        <v>3465</v>
      </c>
      <c r="L144" s="4" t="inlineStr">
        <is>
          <t>待付款</t>
        </is>
      </c>
    </row>
    <row r="145">
      <c r="A145" s="8" t="inlineStr">
        <is>
          <t>DD-20260616-0135</t>
        </is>
      </c>
      <c r="B145" s="9" t="n">
        <v>46189</v>
      </c>
      <c r="C145" s="8" t="inlineStr">
        <is>
          <t>KH005</t>
        </is>
      </c>
      <c r="D145" s="10" t="inlineStr">
        <is>
          <t>杭州云图信息</t>
        </is>
      </c>
      <c r="E145" s="8" t="inlineStr">
        <is>
          <t>陈静</t>
        </is>
      </c>
      <c r="F145" s="8" t="inlineStr">
        <is>
          <t>华东</t>
        </is>
      </c>
      <c r="G145" s="8" t="inlineStr">
        <is>
          <t>CP011</t>
        </is>
      </c>
      <c r="H145" s="10" t="inlineStr">
        <is>
          <t>办公软件年费授权</t>
        </is>
      </c>
      <c r="I145" s="11" t="n">
        <v>699</v>
      </c>
      <c r="J145" s="8" t="n">
        <v>22</v>
      </c>
      <c r="K145" s="11" t="n">
        <v>15378</v>
      </c>
      <c r="L145" s="8" t="inlineStr">
        <is>
          <t>已发货</t>
        </is>
      </c>
    </row>
    <row r="146">
      <c r="A146" s="4" t="inlineStr">
        <is>
          <t>DD-20260617-0136</t>
        </is>
      </c>
      <c r="B146" s="5" t="n">
        <v>46190</v>
      </c>
      <c r="C146" s="4" t="inlineStr">
        <is>
          <t>KH017</t>
        </is>
      </c>
      <c r="D146" s="6" t="inlineStr">
        <is>
          <t>郑州中原物流</t>
        </is>
      </c>
      <c r="E146" s="4" t="inlineStr">
        <is>
          <t>王强</t>
        </is>
      </c>
      <c r="F146" s="4" t="inlineStr">
        <is>
          <t>华中</t>
        </is>
      </c>
      <c r="G146" s="4" t="inlineStr">
        <is>
          <t>CP008</t>
        </is>
      </c>
      <c r="H146" s="6" t="inlineStr">
        <is>
          <t>A4复印纸（5包/箱）</t>
        </is>
      </c>
      <c r="I146" s="7" t="n">
        <v>128</v>
      </c>
      <c r="J146" s="4" t="n">
        <v>55</v>
      </c>
      <c r="K146" s="7" t="n">
        <v>7040</v>
      </c>
      <c r="L146" s="4" t="inlineStr">
        <is>
          <t>已取消</t>
        </is>
      </c>
    </row>
    <row r="147">
      <c r="A147" s="8" t="inlineStr">
        <is>
          <t>DD-20260619-0137</t>
        </is>
      </c>
      <c r="B147" s="9" t="n">
        <v>46192</v>
      </c>
      <c r="C147" s="8" t="inlineStr">
        <is>
          <t>KH002</t>
        </is>
      </c>
      <c r="D147" s="10" t="inlineStr">
        <is>
          <t>上海锦程贸易</t>
        </is>
      </c>
      <c r="E147" s="8" t="inlineStr">
        <is>
          <t>李娜</t>
        </is>
      </c>
      <c r="F147" s="8" t="inlineStr">
        <is>
          <t>华东</t>
        </is>
      </c>
      <c r="G147" s="8" t="inlineStr">
        <is>
          <t>CP006</t>
        </is>
      </c>
      <c r="H147" s="10" t="inlineStr">
        <is>
          <t>显示器 ViewMax 27</t>
        </is>
      </c>
      <c r="I147" s="11" t="n">
        <v>1299</v>
      </c>
      <c r="J147" s="8" t="n">
        <v>4</v>
      </c>
      <c r="K147" s="11" t="n">
        <v>5196</v>
      </c>
      <c r="L147" s="8" t="inlineStr">
        <is>
          <t>已完成</t>
        </is>
      </c>
    </row>
    <row r="148">
      <c r="A148" s="4" t="inlineStr">
        <is>
          <t>DD-20260621-0138</t>
        </is>
      </c>
      <c r="B148" s="5" t="n">
        <v>46194</v>
      </c>
      <c r="C148" s="4" t="inlineStr">
        <is>
          <t>KH009</t>
        </is>
      </c>
      <c r="D148" s="6" t="inlineStr">
        <is>
          <t>天津海河传媒</t>
        </is>
      </c>
      <c r="E148" s="4" t="inlineStr">
        <is>
          <t>赵磊</t>
        </is>
      </c>
      <c r="F148" s="4" t="inlineStr">
        <is>
          <t>华北</t>
        </is>
      </c>
      <c r="G148" s="4" t="inlineStr">
        <is>
          <t>CP011</t>
        </is>
      </c>
      <c r="H148" s="6" t="inlineStr">
        <is>
          <t>办公软件年费授权</t>
        </is>
      </c>
      <c r="I148" s="7" t="n">
        <v>699</v>
      </c>
      <c r="J148" s="4" t="n">
        <v>8</v>
      </c>
      <c r="K148" s="12" t="inlineStr">
        <is>
          <t>¥5,592.00</t>
        </is>
      </c>
      <c r="L148" s="4" t="inlineStr">
        <is>
          <t>已完成</t>
        </is>
      </c>
    </row>
    <row r="149">
      <c r="A149" s="8" t="inlineStr">
        <is>
          <t>DD-20260621-0139</t>
        </is>
      </c>
      <c r="B149" s="9" t="n">
        <v>46194</v>
      </c>
      <c r="C149" s="8" t="inlineStr">
        <is>
          <t>KH001</t>
        </is>
      </c>
      <c r="D149" s="10" t="inlineStr">
        <is>
          <t>北京华信科技</t>
        </is>
      </c>
      <c r="E149" s="8" t="inlineStr">
        <is>
          <t>王强</t>
        </is>
      </c>
      <c r="F149" s="8" t="inlineStr">
        <is>
          <t>华北</t>
        </is>
      </c>
      <c r="G149" s="8" t="inlineStr">
        <is>
          <t>CP004</t>
        </is>
      </c>
      <c r="H149" s="10" t="inlineStr">
        <is>
          <t>笔记本电脑 TechBook 14</t>
        </is>
      </c>
      <c r="I149" s="11" t="n">
        <v>5699</v>
      </c>
      <c r="J149" s="8" t="inlineStr">
        <is>
          <t>5</t>
        </is>
      </c>
      <c r="K149" s="11" t="n">
        <v>28495</v>
      </c>
      <c r="L149" s="8" t="inlineStr">
        <is>
          <t>已完成</t>
        </is>
      </c>
    </row>
    <row r="150">
      <c r="A150" s="4" t="inlineStr">
        <is>
          <t>DD-20260622-0140</t>
        </is>
      </c>
      <c r="B150" s="5" t="n">
        <v>46195</v>
      </c>
      <c r="C150" s="4" t="inlineStr">
        <is>
          <t>KH018</t>
        </is>
      </c>
      <c r="D150" s="6" t="inlineStr">
        <is>
          <t>厦门鹭岛文创</t>
        </is>
      </c>
      <c r="E150" s="4" t="inlineStr">
        <is>
          <t>张伟</t>
        </is>
      </c>
      <c r="F150" s="4" t="inlineStr">
        <is>
          <t>华南</t>
        </is>
      </c>
      <c r="G150" s="4" t="inlineStr">
        <is>
          <t>CP002</t>
        </is>
      </c>
      <c r="H150" s="6" t="inlineStr">
        <is>
          <t>多功能一体机 PrintMaster 300</t>
        </is>
      </c>
      <c r="I150" s="7" t="n">
        <v>3599</v>
      </c>
      <c r="J150" s="4" t="inlineStr">
        <is>
          <t>3</t>
        </is>
      </c>
      <c r="K150" s="7" t="n">
        <v>10797</v>
      </c>
      <c r="L150" s="4" t="inlineStr">
        <is>
          <t>已完成</t>
        </is>
      </c>
    </row>
    <row r="151">
      <c r="A151" s="8" t="inlineStr">
        <is>
          <t>DD-20260623-0141</t>
        </is>
      </c>
      <c r="B151" s="9" t="n">
        <v>46196</v>
      </c>
      <c r="C151" s="8" t="inlineStr">
        <is>
          <t>KH017</t>
        </is>
      </c>
      <c r="D151" s="10" t="inlineStr">
        <is>
          <t>郑州中原物流</t>
        </is>
      </c>
      <c r="E151" s="8" t="inlineStr">
        <is>
          <t>李娜</t>
        </is>
      </c>
      <c r="F151" s="8" t="inlineStr">
        <is>
          <t>华中</t>
        </is>
      </c>
      <c r="G151" s="8" t="inlineStr">
        <is>
          <t>CP011</t>
        </is>
      </c>
      <c r="H151" s="10" t="inlineStr">
        <is>
          <t>办公软件年费授权</t>
        </is>
      </c>
      <c r="I151" s="11" t="n">
        <v>699</v>
      </c>
      <c r="J151" s="8" t="n">
        <v>37</v>
      </c>
      <c r="K151" s="11" t="n">
        <v>25863</v>
      </c>
      <c r="L151" s="8" t="inlineStr">
        <is>
          <t>待付款</t>
        </is>
      </c>
    </row>
    <row r="152">
      <c r="A152" s="4" t="inlineStr">
        <is>
          <t>DD-20260625-0142</t>
        </is>
      </c>
      <c r="B152" s="5" t="n">
        <v>46198</v>
      </c>
      <c r="C152" s="4" t="inlineStr">
        <is>
          <t>KH010</t>
        </is>
      </c>
      <c r="D152" s="6" t="inlineStr">
        <is>
          <t>苏州创智科技</t>
        </is>
      </c>
      <c r="E152" s="4" t="inlineStr">
        <is>
          <t>张伟</t>
        </is>
      </c>
      <c r="F152" s="4" t="inlineStr">
        <is>
          <t xml:space="preserve"> 华东</t>
        </is>
      </c>
      <c r="G152" s="4" t="inlineStr">
        <is>
          <t>CP001</t>
        </is>
      </c>
      <c r="H152" s="6" t="inlineStr">
        <is>
          <t xml:space="preserve">激光打印机 ProLaser 200 </t>
        </is>
      </c>
      <c r="I152" s="7" t="n">
        <v>2499</v>
      </c>
      <c r="J152" s="4" t="n">
        <v>8</v>
      </c>
      <c r="K152" s="7" t="n">
        <v>19992</v>
      </c>
      <c r="L152" s="4" t="inlineStr">
        <is>
          <t>已取消</t>
        </is>
      </c>
    </row>
    <row r="153">
      <c r="A153" s="8" t="inlineStr">
        <is>
          <t>DD-20260626-0143</t>
        </is>
      </c>
      <c r="B153" s="9" t="n">
        <v>46199</v>
      </c>
      <c r="C153" s="8" t="inlineStr">
        <is>
          <t>KH018</t>
        </is>
      </c>
      <c r="D153" s="10" t="inlineStr">
        <is>
          <t>厦门鹭岛文创</t>
        </is>
      </c>
      <c r="E153" s="8" t="inlineStr">
        <is>
          <t>张伟</t>
        </is>
      </c>
      <c r="F153" s="8" t="inlineStr">
        <is>
          <t>华南</t>
        </is>
      </c>
      <c r="G153" s="8" t="inlineStr">
        <is>
          <t>CP012</t>
        </is>
      </c>
      <c r="H153" s="10" t="inlineStr">
        <is>
          <t>云存储服务（1TB/年）</t>
        </is>
      </c>
      <c r="I153" s="11" t="n">
        <v>599</v>
      </c>
      <c r="J153" s="8" t="n">
        <v>32</v>
      </c>
      <c r="K153" s="11" t="n">
        <v>19168</v>
      </c>
      <c r="L153" s="8" t="inlineStr">
        <is>
          <t>已完成</t>
        </is>
      </c>
    </row>
    <row r="154">
      <c r="A154" s="4" t="inlineStr">
        <is>
          <t>DD-20260627-0144</t>
        </is>
      </c>
      <c r="B154" s="5" t="n">
        <v>46200</v>
      </c>
      <c r="C154" s="4" t="inlineStr">
        <is>
          <t>KH003</t>
        </is>
      </c>
      <c r="D154" s="6" t="inlineStr">
        <is>
          <t>广州启航教育</t>
        </is>
      </c>
      <c r="E154" s="4" t="inlineStr">
        <is>
          <t>张伟</t>
        </is>
      </c>
      <c r="F154" s="4" t="inlineStr">
        <is>
          <t>华南</t>
        </is>
      </c>
      <c r="G154" s="4" t="inlineStr">
        <is>
          <t>CP002</t>
        </is>
      </c>
      <c r="H154" s="6" t="inlineStr">
        <is>
          <t>多功能一体机 PrintMaster 300</t>
        </is>
      </c>
      <c r="I154" s="7" t="n">
        <v>3599</v>
      </c>
      <c r="J154" s="4" t="n">
        <v>4</v>
      </c>
      <c r="K154" s="7" t="n">
        <v>14396</v>
      </c>
      <c r="L154" s="4" t="inlineStr">
        <is>
          <t>已完成</t>
        </is>
      </c>
    </row>
    <row r="155">
      <c r="A155" s="8" t="inlineStr">
        <is>
          <t>DD-20260628-0145</t>
        </is>
      </c>
      <c r="B155" s="9" t="n">
        <v>46201</v>
      </c>
      <c r="C155" s="8" t="inlineStr">
        <is>
          <t>KH012</t>
        </is>
      </c>
      <c r="D155" s="10" t="inlineStr">
        <is>
          <t>长沙麓山科技</t>
        </is>
      </c>
      <c r="E155" s="8" t="inlineStr">
        <is>
          <t>李娜</t>
        </is>
      </c>
      <c r="F155" s="8" t="inlineStr">
        <is>
          <t xml:space="preserve">华中 </t>
        </is>
      </c>
      <c r="G155" s="8" t="inlineStr">
        <is>
          <t>CP008</t>
        </is>
      </c>
      <c r="H155" s="10" t="inlineStr">
        <is>
          <t>A4复印纸（5包/箱）</t>
        </is>
      </c>
      <c r="I155" s="11" t="n">
        <v>128</v>
      </c>
      <c r="J155" s="8" t="n">
        <v>43</v>
      </c>
      <c r="K155" s="11" t="n">
        <v>5504</v>
      </c>
      <c r="L155" s="8" t="inlineStr">
        <is>
          <t>待付款</t>
        </is>
      </c>
    </row>
    <row r="156">
      <c r="A156" s="4" t="inlineStr">
        <is>
          <t>DD-20260629-0146</t>
        </is>
      </c>
      <c r="B156" s="4" t="inlineStr">
        <is>
          <t>2026.6.29</t>
        </is>
      </c>
      <c r="C156" s="4" t="inlineStr">
        <is>
          <t>KH014</t>
        </is>
      </c>
      <c r="D156" s="6" t="inlineStr">
        <is>
          <t>宁波海港实业</t>
        </is>
      </c>
      <c r="E156" s="4" t="inlineStr">
        <is>
          <t>孙悦</t>
        </is>
      </c>
      <c r="F156" s="4" t="inlineStr">
        <is>
          <t>华东</t>
        </is>
      </c>
      <c r="G156" s="4" t="inlineStr">
        <is>
          <t>CP003</t>
        </is>
      </c>
      <c r="H156" s="6" t="inlineStr">
        <is>
          <t>碎纸机 SafeCut S8</t>
        </is>
      </c>
      <c r="I156" s="7" t="n">
        <v>899</v>
      </c>
      <c r="J156" s="4" t="n">
        <v>4</v>
      </c>
      <c r="K156" s="7" t="n">
        <v>3596</v>
      </c>
      <c r="L156" s="4" t="inlineStr">
        <is>
          <t>待付款</t>
        </is>
      </c>
    </row>
    <row r="157">
      <c r="A157" s="8" t="inlineStr">
        <is>
          <t>DD-20260630-0147</t>
        </is>
      </c>
      <c r="B157" s="9" t="n">
        <v>46203</v>
      </c>
      <c r="C157" s="8" t="inlineStr">
        <is>
          <t>KH010</t>
        </is>
      </c>
      <c r="D157" s="10" t="inlineStr">
        <is>
          <t>苏州创智科技</t>
        </is>
      </c>
      <c r="E157" s="8" t="inlineStr">
        <is>
          <t>孙悦</t>
        </is>
      </c>
      <c r="F157" s="8" t="inlineStr">
        <is>
          <t>华东</t>
        </is>
      </c>
      <c r="G157" s="8" t="inlineStr">
        <is>
          <t>CP004</t>
        </is>
      </c>
      <c r="H157" s="10" t="inlineStr">
        <is>
          <t>笔记本电脑 TechBook 14</t>
        </is>
      </c>
      <c r="I157" s="11" t="n">
        <v>5699</v>
      </c>
      <c r="J157" s="8" t="n">
        <v>7</v>
      </c>
      <c r="K157" s="11" t="n">
        <v>39893</v>
      </c>
      <c r="L157" s="8" t="inlineStr">
        <is>
          <t>已完成</t>
        </is>
      </c>
    </row>
    <row r="158">
      <c r="A158" s="4" t="inlineStr">
        <is>
          <t>DD-20260630-0148</t>
        </is>
      </c>
      <c r="B158" s="5" t="n">
        <v>46203</v>
      </c>
      <c r="C158" s="4" t="inlineStr">
        <is>
          <t>KH001</t>
        </is>
      </c>
      <c r="D158" s="6" t="inlineStr">
        <is>
          <t>北京华信科技</t>
        </is>
      </c>
      <c r="E158" s="4" t="inlineStr">
        <is>
          <t>李娜</t>
        </is>
      </c>
      <c r="F158" s="4" t="inlineStr">
        <is>
          <t>华北</t>
        </is>
      </c>
      <c r="G158" s="4" t="inlineStr">
        <is>
          <t>CP007</t>
        </is>
      </c>
      <c r="H158" s="6" t="inlineStr">
        <is>
          <t>无线键鼠套装 KeyFree 2.0</t>
        </is>
      </c>
      <c r="I158" s="7" t="n">
        <v>299</v>
      </c>
      <c r="J158" s="4" t="n">
        <v>9</v>
      </c>
      <c r="K158" s="12" t="inlineStr">
        <is>
          <t>¥2,691.00</t>
        </is>
      </c>
      <c r="L158" s="4" t="inlineStr">
        <is>
          <t>已完成</t>
        </is>
      </c>
    </row>
    <row r="159">
      <c r="A159" s="8" t="inlineStr">
        <is>
          <t>DD-20260701-0149</t>
        </is>
      </c>
      <c r="B159" s="9" t="n">
        <v>46204</v>
      </c>
      <c r="C159" s="8" t="inlineStr">
        <is>
          <t>KH012</t>
        </is>
      </c>
      <c r="D159" s="10" t="inlineStr">
        <is>
          <t>长沙麓山科技</t>
        </is>
      </c>
      <c r="E159" s="8" t="inlineStr">
        <is>
          <t>刘洋</t>
        </is>
      </c>
      <c r="F159" s="8" t="inlineStr">
        <is>
          <t>华中</t>
        </is>
      </c>
      <c r="G159" s="8" t="inlineStr">
        <is>
          <t>CP003</t>
        </is>
      </c>
      <c r="H159" s="10" t="inlineStr">
        <is>
          <t>碎纸机 SafeCut S8</t>
        </is>
      </c>
      <c r="I159" s="11" t="n">
        <v>899</v>
      </c>
      <c r="J159" s="8" t="n">
        <v>3</v>
      </c>
      <c r="K159" s="11" t="n">
        <v>2697</v>
      </c>
      <c r="L159" s="8" t="inlineStr">
        <is>
          <t>已完成</t>
        </is>
      </c>
    </row>
    <row r="160">
      <c r="A160" s="4" t="inlineStr">
        <is>
          <t>DD-20260702-0150</t>
        </is>
      </c>
      <c r="B160" s="4" t="inlineStr">
        <is>
          <t>2026.7.2</t>
        </is>
      </c>
      <c r="C160" s="4" t="inlineStr">
        <is>
          <t>KH006</t>
        </is>
      </c>
      <c r="D160" s="6" t="inlineStr">
        <is>
          <t>成都天府商贸</t>
        </is>
      </c>
      <c r="E160" s="4" t="inlineStr">
        <is>
          <t>王强</t>
        </is>
      </c>
      <c r="F160" s="4" t="inlineStr">
        <is>
          <t>西南区</t>
        </is>
      </c>
      <c r="G160" s="4" t="inlineStr">
        <is>
          <t>CP005</t>
        </is>
      </c>
      <c r="H160" s="6" t="inlineStr">
        <is>
          <t>台式电脑 PowerDesk 500</t>
        </is>
      </c>
      <c r="I160" s="7" t="n">
        <v>4299</v>
      </c>
      <c r="J160" s="4" t="n">
        <v>11</v>
      </c>
      <c r="K160" s="7" t="n">
        <v>47289</v>
      </c>
      <c r="L160" s="4" t="inlineStr">
        <is>
          <t>已完成</t>
        </is>
      </c>
    </row>
    <row r="161">
      <c r="A161" s="8" t="inlineStr">
        <is>
          <t>DD-20260703-0151</t>
        </is>
      </c>
      <c r="B161" s="9" t="n">
        <v>46206</v>
      </c>
      <c r="C161" s="8" t="inlineStr">
        <is>
          <t>KH001</t>
        </is>
      </c>
      <c r="D161" s="10" t="inlineStr">
        <is>
          <t>北京华信科技</t>
        </is>
      </c>
      <c r="E161" s="8" t="inlineStr">
        <is>
          <t>刘洋</t>
        </is>
      </c>
      <c r="F161" s="8" t="inlineStr">
        <is>
          <t>华北</t>
        </is>
      </c>
      <c r="G161" s="8" t="inlineStr">
        <is>
          <t>CP002</t>
        </is>
      </c>
      <c r="H161" s="10" t="inlineStr">
        <is>
          <t>多功能一体机 PrintMaster 300</t>
        </is>
      </c>
      <c r="I161" s="11" t="n">
        <v>3599</v>
      </c>
      <c r="J161" s="8" t="n">
        <v>3</v>
      </c>
      <c r="K161" s="11" t="n">
        <v>10797</v>
      </c>
      <c r="L161" s="8" t="inlineStr">
        <is>
          <t>待付款</t>
        </is>
      </c>
    </row>
    <row r="162">
      <c r="A162" s="4" t="inlineStr">
        <is>
          <t>DD-20260703-0152</t>
        </is>
      </c>
      <c r="B162" s="5" t="n">
        <v>46206</v>
      </c>
      <c r="C162" s="4" t="inlineStr">
        <is>
          <t>KH009</t>
        </is>
      </c>
      <c r="D162" s="6" t="inlineStr">
        <is>
          <t>天津海河传媒</t>
        </is>
      </c>
      <c r="E162" s="4" t="inlineStr">
        <is>
          <t>杨帆</t>
        </is>
      </c>
      <c r="F162" s="4" t="inlineStr">
        <is>
          <t>华北区</t>
        </is>
      </c>
      <c r="G162" s="4" t="inlineStr">
        <is>
          <t>CP009</t>
        </is>
      </c>
      <c r="H162" s="6" t="inlineStr">
        <is>
          <t>激光硒鼓 TonerMax 12A</t>
        </is>
      </c>
      <c r="I162" s="7" t="n">
        <v>385</v>
      </c>
      <c r="J162" s="4" t="n">
        <v>97</v>
      </c>
      <c r="K162" s="7" t="n">
        <v>37345</v>
      </c>
      <c r="L162" s="4" t="inlineStr">
        <is>
          <t>已完成</t>
        </is>
      </c>
    </row>
    <row r="163">
      <c r="A163" s="8" t="inlineStr">
        <is>
          <t>DD-20260703-0153</t>
        </is>
      </c>
      <c r="B163" s="9" t="n">
        <v>46206</v>
      </c>
      <c r="C163" s="8" t="inlineStr">
        <is>
          <t>KH010</t>
        </is>
      </c>
      <c r="D163" s="10" t="inlineStr">
        <is>
          <t>苏州创智科技</t>
        </is>
      </c>
      <c r="E163" s="8" t="inlineStr">
        <is>
          <t>李娜</t>
        </is>
      </c>
      <c r="F163" s="8" t="inlineStr">
        <is>
          <t>华东</t>
        </is>
      </c>
      <c r="G163" s="8" t="inlineStr">
        <is>
          <t>CP003</t>
        </is>
      </c>
      <c r="H163" s="10" t="inlineStr">
        <is>
          <t>碎纸机 SafeCut S8</t>
        </is>
      </c>
      <c r="I163" s="11" t="n">
        <v>899</v>
      </c>
      <c r="J163" s="8" t="n">
        <v>7</v>
      </c>
      <c r="K163" s="11" t="n">
        <v>6293</v>
      </c>
      <c r="L163" s="8" t="inlineStr">
        <is>
          <t>已取消</t>
        </is>
      </c>
    </row>
    <row r="164">
      <c r="A164" s="4" t="inlineStr">
        <is>
          <t>DD-20260705-0154</t>
        </is>
      </c>
      <c r="B164" s="5" t="n">
        <v>46208</v>
      </c>
      <c r="C164" s="4" t="inlineStr">
        <is>
          <t>KH010</t>
        </is>
      </c>
      <c r="D164" s="6" t="inlineStr">
        <is>
          <t>苏州创智科技</t>
        </is>
      </c>
      <c r="E164" s="4" t="inlineStr">
        <is>
          <t>杨帆</t>
        </is>
      </c>
      <c r="F164" s="4" t="inlineStr">
        <is>
          <t>华东</t>
        </is>
      </c>
      <c r="G164" s="4" t="inlineStr">
        <is>
          <t>CP007</t>
        </is>
      </c>
      <c r="H164" s="6" t="inlineStr">
        <is>
          <t>无线键鼠套装 KeyFree 2.0</t>
        </is>
      </c>
      <c r="I164" s="7" t="n">
        <v>299</v>
      </c>
      <c r="J164" s="4" t="n">
        <v>10</v>
      </c>
      <c r="K164" s="7" t="n">
        <v>2990</v>
      </c>
      <c r="L164" s="4" t="inlineStr">
        <is>
          <t>已完成</t>
        </is>
      </c>
    </row>
    <row r="165">
      <c r="A165" s="8" t="inlineStr">
        <is>
          <t>DD-20260706-0155</t>
        </is>
      </c>
      <c r="B165" s="9" t="n">
        <v>46209</v>
      </c>
      <c r="C165" s="8" t="inlineStr">
        <is>
          <t>KH006</t>
        </is>
      </c>
      <c r="D165" s="10" t="inlineStr">
        <is>
          <t>成都天府商贸</t>
        </is>
      </c>
      <c r="E165" s="8" t="inlineStr">
        <is>
          <t>张伟</t>
        </is>
      </c>
      <c r="F165" s="8" t="inlineStr">
        <is>
          <t>西南区</t>
        </is>
      </c>
      <c r="G165" s="8" t="inlineStr">
        <is>
          <t>CP010</t>
        </is>
      </c>
      <c r="H165" s="10" t="inlineStr">
        <is>
          <t>签字笔盒装（12支）</t>
        </is>
      </c>
      <c r="I165" s="11" t="n">
        <v>45</v>
      </c>
      <c r="J165" s="8" t="inlineStr">
        <is>
          <t>85</t>
        </is>
      </c>
      <c r="K165" s="11" t="n">
        <v>3825</v>
      </c>
      <c r="L165" s="8" t="inlineStr">
        <is>
          <t>已发货</t>
        </is>
      </c>
    </row>
    <row r="166">
      <c r="A166" s="4" t="inlineStr">
        <is>
          <t>DD-20260707-0156</t>
        </is>
      </c>
      <c r="B166" s="4" t="inlineStr">
        <is>
          <t>2026.7.7</t>
        </is>
      </c>
      <c r="C166" s="4" t="inlineStr">
        <is>
          <t>KH004</t>
        </is>
      </c>
      <c r="D166" s="6" t="inlineStr">
        <is>
          <t>深圳蓝鲸网络</t>
        </is>
      </c>
      <c r="E166" s="4" t="inlineStr">
        <is>
          <t>陈静</t>
        </is>
      </c>
      <c r="F166" s="4" t="inlineStr">
        <is>
          <t>华南</t>
        </is>
      </c>
      <c r="G166" s="4" t="inlineStr">
        <is>
          <t>CP006</t>
        </is>
      </c>
      <c r="H166" s="6" t="inlineStr">
        <is>
          <t>显示器 ViewMax 27</t>
        </is>
      </c>
      <c r="I166" s="7" t="n">
        <v>1299</v>
      </c>
      <c r="J166" s="4" t="n">
        <v>4</v>
      </c>
      <c r="K166" s="7" t="n">
        <v>5196</v>
      </c>
      <c r="L166" s="4" t="inlineStr">
        <is>
          <t>已发货</t>
        </is>
      </c>
    </row>
    <row r="167">
      <c r="A167" s="8" t="inlineStr">
        <is>
          <t>DD-20260710-0157</t>
        </is>
      </c>
      <c r="B167" s="8" t="inlineStr">
        <is>
          <t>2026/7/10</t>
        </is>
      </c>
      <c r="C167" s="8" t="inlineStr">
        <is>
          <t>KH011</t>
        </is>
      </c>
      <c r="D167" s="10" t="inlineStr">
        <is>
          <t>重庆山城办公设备</t>
        </is>
      </c>
      <c r="E167" s="8" t="inlineStr">
        <is>
          <t>陈静</t>
        </is>
      </c>
      <c r="F167" s="8" t="inlineStr">
        <is>
          <t xml:space="preserve"> 西南</t>
        </is>
      </c>
      <c r="G167" s="8" t="inlineStr">
        <is>
          <t>CP012</t>
        </is>
      </c>
      <c r="H167" s="10" t="inlineStr">
        <is>
          <t>云存储服务（1TB/年）</t>
        </is>
      </c>
      <c r="I167" s="11" t="n">
        <v>599</v>
      </c>
      <c r="J167" s="8" t="n">
        <v>13</v>
      </c>
      <c r="K167" s="11" t="n">
        <v>7787</v>
      </c>
      <c r="L167" s="8" t="inlineStr">
        <is>
          <t>已发货</t>
        </is>
      </c>
    </row>
    <row r="168">
      <c r="A168" s="4" t="inlineStr">
        <is>
          <t>DD-20260712-0158</t>
        </is>
      </c>
      <c r="B168" s="5" t="n">
        <v>46215</v>
      </c>
      <c r="C168" s="4" t="inlineStr">
        <is>
          <t>KH001</t>
        </is>
      </c>
      <c r="D168" s="6" t="inlineStr">
        <is>
          <t>北京华信科技</t>
        </is>
      </c>
      <c r="E168" s="4" t="inlineStr">
        <is>
          <t>孙悦</t>
        </is>
      </c>
      <c r="F168" s="4" t="inlineStr">
        <is>
          <t>华北区</t>
        </is>
      </c>
      <c r="G168" s="4" t="inlineStr">
        <is>
          <t>CP001</t>
        </is>
      </c>
      <c r="H168" s="6" t="inlineStr">
        <is>
          <t>激光打印机 ProLaser 200</t>
        </is>
      </c>
      <c r="I168" s="7" t="n">
        <v>2499</v>
      </c>
      <c r="J168" s="4" t="n">
        <v>3</v>
      </c>
      <c r="K168" s="7" t="n">
        <v>7122.15</v>
      </c>
      <c r="L168" s="4" t="inlineStr">
        <is>
          <t>已发货</t>
        </is>
      </c>
    </row>
    <row r="169">
      <c r="A169" s="8" t="inlineStr">
        <is>
          <t>DD-20260712-0159</t>
        </is>
      </c>
      <c r="B169" s="9" t="n">
        <v>46215</v>
      </c>
      <c r="C169" s="8" t="inlineStr">
        <is>
          <t>KH004</t>
        </is>
      </c>
      <c r="D169" s="10" t="inlineStr">
        <is>
          <t>深圳蓝鲸网络</t>
        </is>
      </c>
      <c r="E169" s="8" t="inlineStr">
        <is>
          <t>孙悦</t>
        </is>
      </c>
      <c r="F169" s="8" t="inlineStr">
        <is>
          <t>华南区</t>
        </is>
      </c>
      <c r="G169" s="8" t="inlineStr">
        <is>
          <t>CP008</t>
        </is>
      </c>
      <c r="H169" s="10" t="inlineStr">
        <is>
          <t>A4复印纸（5包/箱）</t>
        </is>
      </c>
      <c r="I169" s="11" t="n">
        <v>128</v>
      </c>
      <c r="J169" s="8" t="n">
        <v>30</v>
      </c>
      <c r="K169" s="11" t="n">
        <v>3840</v>
      </c>
      <c r="L169" s="8" t="inlineStr">
        <is>
          <t>已完成</t>
        </is>
      </c>
    </row>
    <row r="170">
      <c r="A170" s="4" t="inlineStr">
        <is>
          <t>DD-20260716-0160</t>
        </is>
      </c>
      <c r="B170" s="5" t="n">
        <v>46219</v>
      </c>
      <c r="C170" s="4" t="inlineStr">
        <is>
          <t>KH003</t>
        </is>
      </c>
      <c r="D170" s="6" t="inlineStr">
        <is>
          <t>广州启航教育</t>
        </is>
      </c>
      <c r="E170" s="4" t="inlineStr">
        <is>
          <t>王强</t>
        </is>
      </c>
      <c r="F170" s="4" t="inlineStr">
        <is>
          <t>华南区</t>
        </is>
      </c>
      <c r="G170" s="4" t="inlineStr">
        <is>
          <t>CP009</t>
        </is>
      </c>
      <c r="H170" s="6" t="inlineStr">
        <is>
          <t xml:space="preserve">激光硒鼓 TonerMax 12A </t>
        </is>
      </c>
      <c r="I170" s="7" t="n">
        <v>385</v>
      </c>
      <c r="J170" s="4" t="n">
        <v>49</v>
      </c>
      <c r="K170" s="7" t="n">
        <v>18865</v>
      </c>
      <c r="L170" s="4" t="inlineStr">
        <is>
          <t>已完成</t>
        </is>
      </c>
    </row>
    <row r="171">
      <c r="A171" s="8" t="inlineStr">
        <is>
          <t>DD-20260716-0161</t>
        </is>
      </c>
      <c r="B171" s="9" t="n">
        <v>46219</v>
      </c>
      <c r="C171" s="8" t="inlineStr">
        <is>
          <t>KH004</t>
        </is>
      </c>
      <c r="D171" s="10" t="inlineStr">
        <is>
          <t>深圳蓝鲸网络</t>
        </is>
      </c>
      <c r="E171" s="8" t="inlineStr">
        <is>
          <t>王强</t>
        </is>
      </c>
      <c r="F171" s="8" t="inlineStr">
        <is>
          <t>华南</t>
        </is>
      </c>
      <c r="G171" s="8" t="inlineStr">
        <is>
          <t>CP007</t>
        </is>
      </c>
      <c r="H171" s="10" t="inlineStr">
        <is>
          <t>无线键鼠套装 KeyFree 2.0</t>
        </is>
      </c>
      <c r="I171" s="11" t="n">
        <v>299</v>
      </c>
      <c r="J171" s="8" t="n">
        <v>5</v>
      </c>
      <c r="K171" s="13" t="inlineStr">
        <is>
          <t>¥1,495.00</t>
        </is>
      </c>
      <c r="L171" s="8" t="inlineStr">
        <is>
          <t>已完成</t>
        </is>
      </c>
    </row>
    <row r="172">
      <c r="A172" s="4" t="inlineStr">
        <is>
          <t>DD-20260716-0162</t>
        </is>
      </c>
      <c r="B172" s="5" t="n">
        <v>46219</v>
      </c>
      <c r="C172" s="4" t="inlineStr">
        <is>
          <t>KH012</t>
        </is>
      </c>
      <c r="D172" s="6" t="inlineStr">
        <is>
          <t>长沙麓山科技</t>
        </is>
      </c>
      <c r="E172" s="4" t="inlineStr">
        <is>
          <t>李娜</t>
        </is>
      </c>
      <c r="F172" s="4" t="inlineStr">
        <is>
          <t>华中</t>
        </is>
      </c>
      <c r="G172" s="4" t="inlineStr">
        <is>
          <t>CP007</t>
        </is>
      </c>
      <c r="H172" s="6" t="inlineStr">
        <is>
          <t>无线键鼠套装 KeyFree 2.0</t>
        </is>
      </c>
      <c r="I172" s="7" t="n">
        <v>299</v>
      </c>
      <c r="J172" s="4" t="n">
        <v>2</v>
      </c>
      <c r="K172" s="7" t="n">
        <v>598</v>
      </c>
      <c r="L172" s="4" t="inlineStr">
        <is>
          <t>已完成</t>
        </is>
      </c>
    </row>
    <row r="173">
      <c r="A173" s="8" t="inlineStr">
        <is>
          <t>DD-20260717-0163</t>
        </is>
      </c>
      <c r="B173" s="9" t="n">
        <v>46220</v>
      </c>
      <c r="C173" s="8" t="inlineStr">
        <is>
          <t>KH005</t>
        </is>
      </c>
      <c r="D173" s="10" t="inlineStr">
        <is>
          <t>杭州云图信息</t>
        </is>
      </c>
      <c r="E173" s="8" t="inlineStr">
        <is>
          <t>陈静</t>
        </is>
      </c>
      <c r="F173" s="8" t="inlineStr">
        <is>
          <t>华东区</t>
        </is>
      </c>
      <c r="G173" s="8" t="inlineStr">
        <is>
          <t>CP011</t>
        </is>
      </c>
      <c r="H173" s="10" t="inlineStr">
        <is>
          <t>办公软件年费授权</t>
        </is>
      </c>
      <c r="I173" s="11" t="n">
        <v>699</v>
      </c>
      <c r="J173" s="8" t="n">
        <v>26</v>
      </c>
      <c r="K173" s="13" t="inlineStr">
        <is>
          <t>¥18,174.00</t>
        </is>
      </c>
      <c r="L173" s="8" t="inlineStr">
        <is>
          <t>已完成</t>
        </is>
      </c>
    </row>
    <row r="174">
      <c r="A174" s="4" t="inlineStr">
        <is>
          <t>DD-20260718-0164</t>
        </is>
      </c>
      <c r="B174" s="4" t="inlineStr">
        <is>
          <t>2026.7.18</t>
        </is>
      </c>
      <c r="C174" s="4" t="inlineStr">
        <is>
          <t>KH008</t>
        </is>
      </c>
      <c r="D174" s="6" t="inlineStr">
        <is>
          <t>南京紫金山软件园运营</t>
        </is>
      </c>
      <c r="E174" s="4" t="inlineStr">
        <is>
          <t>陈静</t>
        </is>
      </c>
      <c r="F174" s="4" t="inlineStr">
        <is>
          <t>华东</t>
        </is>
      </c>
      <c r="G174" s="4" t="inlineStr">
        <is>
          <t>CP012</t>
        </is>
      </c>
      <c r="H174" s="6" t="inlineStr">
        <is>
          <t>云存储服务（1TB/年）</t>
        </is>
      </c>
      <c r="I174" s="7" t="n">
        <v>599</v>
      </c>
      <c r="J174" s="4" t="n">
        <v>21</v>
      </c>
      <c r="K174" s="7" t="n">
        <v>12579</v>
      </c>
      <c r="L174" s="4" t="inlineStr">
        <is>
          <t>已完成</t>
        </is>
      </c>
    </row>
    <row r="175">
      <c r="A175" s="8" t="inlineStr">
        <is>
          <t>DD-20260720-0165</t>
        </is>
      </c>
      <c r="B175" s="9" t="n">
        <v>46223</v>
      </c>
      <c r="C175" s="8" t="inlineStr">
        <is>
          <t>KH012</t>
        </is>
      </c>
      <c r="D175" s="10" t="inlineStr">
        <is>
          <t>长沙麓山科技</t>
        </is>
      </c>
      <c r="E175" s="8" t="inlineStr">
        <is>
          <t>王强</t>
        </is>
      </c>
      <c r="F175" s="8" t="inlineStr">
        <is>
          <t>华中</t>
        </is>
      </c>
      <c r="G175" s="8" t="inlineStr">
        <is>
          <t>CP007</t>
        </is>
      </c>
      <c r="H175" s="10" t="inlineStr">
        <is>
          <t>无线键鼠套装 KeyFree 2.0</t>
        </is>
      </c>
      <c r="I175" s="11" t="n">
        <v>299</v>
      </c>
      <c r="J175" s="8" t="n">
        <v>6</v>
      </c>
      <c r="K175" s="11" t="n">
        <v>1794</v>
      </c>
      <c r="L175" s="8" t="inlineStr">
        <is>
          <t>已完成</t>
        </is>
      </c>
    </row>
    <row r="176">
      <c r="A176" s="4" t="inlineStr">
        <is>
          <t>DD-20260720-0166</t>
        </is>
      </c>
      <c r="B176" s="4" t="inlineStr">
        <is>
          <t>2026年7月20日</t>
        </is>
      </c>
      <c r="C176" s="4" t="inlineStr">
        <is>
          <t>KH010</t>
        </is>
      </c>
      <c r="D176" s="6" t="inlineStr">
        <is>
          <t>苏州创智科技</t>
        </is>
      </c>
      <c r="E176" s="4" t="inlineStr">
        <is>
          <t>陈静</t>
        </is>
      </c>
      <c r="F176" s="4" t="inlineStr">
        <is>
          <t>华东</t>
        </is>
      </c>
      <c r="G176" s="4" t="inlineStr">
        <is>
          <t>CP004</t>
        </is>
      </c>
      <c r="H176" s="6" t="inlineStr">
        <is>
          <t>笔记本电脑 TechBook 14</t>
        </is>
      </c>
      <c r="I176" s="7" t="n">
        <v>5699</v>
      </c>
      <c r="J176" s="4" t="n">
        <v>12</v>
      </c>
      <c r="K176" s="7" t="n">
        <v>68388</v>
      </c>
      <c r="L176" s="4" t="inlineStr">
        <is>
          <t>已发货</t>
        </is>
      </c>
    </row>
    <row r="177">
      <c r="A177" s="8" t="inlineStr">
        <is>
          <t>DD-20260724-0167</t>
        </is>
      </c>
      <c r="B177" s="9" t="n">
        <v>46227</v>
      </c>
      <c r="C177" s="8" t="inlineStr">
        <is>
          <t>KH015</t>
        </is>
      </c>
      <c r="D177" s="10" t="inlineStr">
        <is>
          <t>佛山美的家电商贸</t>
        </is>
      </c>
      <c r="E177" s="8" t="inlineStr">
        <is>
          <t>杨帆</t>
        </is>
      </c>
      <c r="F177" s="8" t="inlineStr">
        <is>
          <t>华南</t>
        </is>
      </c>
      <c r="G177" s="8" t="inlineStr">
        <is>
          <t>CP007</t>
        </is>
      </c>
      <c r="H177" s="10" t="inlineStr">
        <is>
          <t>无线键鼠套装 KeyFree 2.0</t>
        </is>
      </c>
      <c r="I177" s="11" t="n">
        <v>299</v>
      </c>
      <c r="J177" s="8" t="n">
        <v>12</v>
      </c>
      <c r="K177" s="11" t="n">
        <v>3588</v>
      </c>
      <c r="L177" s="8" t="inlineStr">
        <is>
          <t>已完成</t>
        </is>
      </c>
    </row>
    <row r="178">
      <c r="A178" s="4" t="inlineStr">
        <is>
          <t>DD-20260725-0168</t>
        </is>
      </c>
      <c r="B178" s="5" t="n">
        <v>46228</v>
      </c>
      <c r="C178" s="4" t="inlineStr">
        <is>
          <t>KH002</t>
        </is>
      </c>
      <c r="D178" s="6" t="inlineStr">
        <is>
          <t>上海锦程贸易</t>
        </is>
      </c>
      <c r="E178" s="4" t="inlineStr">
        <is>
          <t>杨帆</t>
        </is>
      </c>
      <c r="F178" s="4" t="inlineStr">
        <is>
          <t>华东区</t>
        </is>
      </c>
      <c r="G178" s="4" t="inlineStr">
        <is>
          <t>CP007</t>
        </is>
      </c>
      <c r="H178" s="6" t="inlineStr">
        <is>
          <t>无线键鼠套装 KeyFree 2.0</t>
        </is>
      </c>
      <c r="I178" s="7" t="n">
        <v>299</v>
      </c>
      <c r="J178" s="4" t="n">
        <v>10</v>
      </c>
      <c r="K178" s="7" t="n">
        <v>2990</v>
      </c>
      <c r="L178" s="4" t="inlineStr">
        <is>
          <t>已发货</t>
        </is>
      </c>
    </row>
    <row r="179">
      <c r="A179" s="8" t="inlineStr">
        <is>
          <t>DD-20260725-0169</t>
        </is>
      </c>
      <c r="B179" s="9" t="n">
        <v>46228</v>
      </c>
      <c r="C179" s="8" t="inlineStr">
        <is>
          <t>KH007</t>
        </is>
      </c>
      <c r="D179" s="10" t="inlineStr">
        <is>
          <t>武汉长江实业</t>
        </is>
      </c>
      <c r="E179" s="8" t="inlineStr">
        <is>
          <t>赵磊</t>
        </is>
      </c>
      <c r="F179" s="8" t="inlineStr">
        <is>
          <t>华中</t>
        </is>
      </c>
      <c r="G179" s="8" t="inlineStr">
        <is>
          <t>CP009</t>
        </is>
      </c>
      <c r="H179" s="10" t="inlineStr">
        <is>
          <t>激光硒鼓 TonerMax 12A</t>
        </is>
      </c>
      <c r="I179" s="11" t="n">
        <v>385</v>
      </c>
      <c r="J179" s="8" t="n">
        <v>48</v>
      </c>
      <c r="K179" s="11" t="n">
        <v>18480</v>
      </c>
      <c r="L179" s="8" t="inlineStr">
        <is>
          <t>已发货</t>
        </is>
      </c>
    </row>
    <row r="180">
      <c r="A180" s="4" t="inlineStr">
        <is>
          <t>DD-20260726-0170</t>
        </is>
      </c>
      <c r="B180" s="4" t="inlineStr">
        <is>
          <t>2026年7月26日</t>
        </is>
      </c>
      <c r="C180" s="4" t="inlineStr">
        <is>
          <t>KH006</t>
        </is>
      </c>
      <c r="D180" s="6" t="inlineStr">
        <is>
          <t>成都天府商贸</t>
        </is>
      </c>
      <c r="E180" s="4" t="inlineStr">
        <is>
          <t>王强</t>
        </is>
      </c>
      <c r="F180" s="4" t="inlineStr">
        <is>
          <t>西南</t>
        </is>
      </c>
      <c r="G180" s="4" t="inlineStr">
        <is>
          <t>CP012</t>
        </is>
      </c>
      <c r="H180" s="6" t="inlineStr">
        <is>
          <t>云存储服务（1TB/年）</t>
        </is>
      </c>
      <c r="I180" s="7" t="n">
        <v>599</v>
      </c>
      <c r="J180" s="4" t="n">
        <v>17</v>
      </c>
      <c r="K180" s="7" t="n">
        <v>10183</v>
      </c>
      <c r="L180" s="4" t="inlineStr">
        <is>
          <t>已完成</t>
        </is>
      </c>
    </row>
    <row r="181">
      <c r="A181" s="8" t="inlineStr">
        <is>
          <t>DD-20260726-0171</t>
        </is>
      </c>
      <c r="B181" s="9" t="n">
        <v>46229</v>
      </c>
      <c r="C181" s="8" t="inlineStr">
        <is>
          <t>KH001</t>
        </is>
      </c>
      <c r="D181" s="10" t="inlineStr">
        <is>
          <t>北京华信科技</t>
        </is>
      </c>
      <c r="E181" s="8" t="inlineStr">
        <is>
          <t>陈静</t>
        </is>
      </c>
      <c r="F181" s="8" t="inlineStr">
        <is>
          <t>华北</t>
        </is>
      </c>
      <c r="G181" s="8" t="inlineStr">
        <is>
          <t>CP009</t>
        </is>
      </c>
      <c r="H181" s="10" t="inlineStr">
        <is>
          <t>激光硒鼓 TonerMax 12A</t>
        </is>
      </c>
      <c r="I181" s="11" t="n">
        <v>385</v>
      </c>
      <c r="J181" s="8" t="n">
        <v>35</v>
      </c>
      <c r="K181" s="11" t="n">
        <v>13475</v>
      </c>
      <c r="L181" s="8" t="inlineStr">
        <is>
          <t>已完成</t>
        </is>
      </c>
    </row>
    <row r="182">
      <c r="A182" s="4" t="inlineStr">
        <is>
          <t>DD-20260726-0172</t>
        </is>
      </c>
      <c r="B182" s="5" t="n">
        <v>46229</v>
      </c>
      <c r="C182" s="4" t="inlineStr">
        <is>
          <t>KH008</t>
        </is>
      </c>
      <c r="D182" s="6" t="inlineStr">
        <is>
          <t>南京紫金山软件园运营</t>
        </is>
      </c>
      <c r="E182" s="4" t="inlineStr">
        <is>
          <t>赵磊</t>
        </is>
      </c>
      <c r="F182" s="4" t="inlineStr">
        <is>
          <t>华东</t>
        </is>
      </c>
      <c r="G182" s="4" t="inlineStr">
        <is>
          <t>CP008</t>
        </is>
      </c>
      <c r="H182" s="6" t="inlineStr">
        <is>
          <t>A4复印纸（5包/箱）</t>
        </is>
      </c>
      <c r="I182" s="7" t="n">
        <v>128</v>
      </c>
      <c r="J182" s="4" t="n">
        <v>66</v>
      </c>
      <c r="K182" s="7" t="n">
        <v>8448</v>
      </c>
      <c r="L182" s="4" t="inlineStr">
        <is>
          <t>已发货</t>
        </is>
      </c>
    </row>
    <row r="183">
      <c r="A183" s="8" t="inlineStr">
        <is>
          <t>DD-20260321-0048</t>
        </is>
      </c>
      <c r="B183" s="9" t="n">
        <v>46102</v>
      </c>
      <c r="C183" s="8" t="inlineStr">
        <is>
          <t>KH018</t>
        </is>
      </c>
      <c r="D183" s="10" t="inlineStr">
        <is>
          <t>厦门鹭岛文创</t>
        </is>
      </c>
      <c r="E183" s="8" t="inlineStr">
        <is>
          <t>刘洋</t>
        </is>
      </c>
      <c r="F183" s="8" t="inlineStr">
        <is>
          <t>华南区</t>
        </is>
      </c>
      <c r="G183" s="8" t="inlineStr">
        <is>
          <t>CP007</t>
        </is>
      </c>
      <c r="H183" s="10" t="inlineStr">
        <is>
          <t>无线键鼠套装 KeyFree 2.0</t>
        </is>
      </c>
      <c r="I183" s="11" t="n">
        <v>299</v>
      </c>
      <c r="J183" s="8" t="n">
        <v>6</v>
      </c>
      <c r="K183" s="11" t="n">
        <v>1794</v>
      </c>
      <c r="L183" s="8" t="inlineStr">
        <is>
          <t>已完成</t>
        </is>
      </c>
    </row>
    <row r="184">
      <c r="A184" s="4" t="inlineStr">
        <is>
          <t>DD-20260726-0173</t>
        </is>
      </c>
      <c r="B184" s="4" t="inlineStr">
        <is>
          <t>2026.7.26</t>
        </is>
      </c>
      <c r="C184" s="4" t="inlineStr">
        <is>
          <t>KH013</t>
        </is>
      </c>
      <c r="D184" s="6" t="inlineStr">
        <is>
          <t>石家庄振华商贸</t>
        </is>
      </c>
      <c r="E184" s="4" t="inlineStr">
        <is>
          <t>张伟</t>
        </is>
      </c>
      <c r="F184" s="4" t="inlineStr">
        <is>
          <t>华北</t>
        </is>
      </c>
      <c r="G184" s="4" t="inlineStr">
        <is>
          <t>CP009</t>
        </is>
      </c>
      <c r="H184" s="6" t="inlineStr">
        <is>
          <t>激光硒鼓 TonerMax 12A</t>
        </is>
      </c>
      <c r="I184" s="7" t="n">
        <v>385</v>
      </c>
      <c r="J184" s="4" t="n">
        <v>104</v>
      </c>
      <c r="K184" s="7" t="n">
        <v>40040</v>
      </c>
      <c r="L184" s="4" t="inlineStr">
        <is>
          <t>待付款</t>
        </is>
      </c>
    </row>
    <row r="185">
      <c r="A185" s="8" t="inlineStr">
        <is>
          <t>DD-20260727-0174</t>
        </is>
      </c>
      <c r="B185" s="9" t="n">
        <v>46230</v>
      </c>
      <c r="C185" s="8" t="inlineStr">
        <is>
          <t>KH010</t>
        </is>
      </c>
      <c r="D185" s="10" t="inlineStr">
        <is>
          <t>苏州创智科技</t>
        </is>
      </c>
      <c r="E185" s="8" t="inlineStr">
        <is>
          <t>赵磊</t>
        </is>
      </c>
      <c r="F185" s="8" t="inlineStr">
        <is>
          <t>华东</t>
        </is>
      </c>
      <c r="G185" s="8" t="inlineStr">
        <is>
          <t>CP008</t>
        </is>
      </c>
      <c r="H185" s="10" t="inlineStr">
        <is>
          <t>A4复印纸（5包/箱）</t>
        </is>
      </c>
      <c r="I185" s="11" t="n">
        <v>128</v>
      </c>
      <c r="J185" s="8" t="n">
        <v>117</v>
      </c>
      <c r="K185" s="11" t="n">
        <v>14976</v>
      </c>
      <c r="L185" s="8" t="inlineStr">
        <is>
          <t>已完成</t>
        </is>
      </c>
    </row>
    <row r="186">
      <c r="A186" s="4" t="inlineStr">
        <is>
          <t>DD-20260728-0175</t>
        </is>
      </c>
      <c r="B186" s="4" t="inlineStr">
        <is>
          <t>2026.7.28</t>
        </is>
      </c>
      <c r="C186" s="4" t="inlineStr">
        <is>
          <t>KH014</t>
        </is>
      </c>
      <c r="D186" s="6" t="inlineStr">
        <is>
          <t>宁波海港实业</t>
        </is>
      </c>
      <c r="E186" s="4" t="inlineStr">
        <is>
          <t>陈静</t>
        </is>
      </c>
      <c r="F186" s="4" t="inlineStr">
        <is>
          <t>华东</t>
        </is>
      </c>
      <c r="G186" s="4" t="inlineStr">
        <is>
          <t>CP011</t>
        </is>
      </c>
      <c r="H186" s="6" t="inlineStr">
        <is>
          <t>办公软件年费授权</t>
        </is>
      </c>
      <c r="I186" s="7" t="n">
        <v>699</v>
      </c>
      <c r="J186" s="4" t="n">
        <v>34</v>
      </c>
      <c r="K186" s="7" t="n">
        <v>23766</v>
      </c>
      <c r="L186" s="4" t="inlineStr">
        <is>
          <t>待付款</t>
        </is>
      </c>
    </row>
    <row r="187">
      <c r="A187" s="8" t="inlineStr">
        <is>
          <t>DD-20260729-0176</t>
        </is>
      </c>
      <c r="B187" s="9" t="n">
        <v>46232</v>
      </c>
      <c r="C187" s="8" t="inlineStr">
        <is>
          <t>KH016</t>
        </is>
      </c>
      <c r="D187" s="10" t="inlineStr">
        <is>
          <t>昆明滇池科技</t>
        </is>
      </c>
      <c r="E187" s="8" t="inlineStr">
        <is>
          <t>杨帆</t>
        </is>
      </c>
      <c r="F187" s="8" t="inlineStr">
        <is>
          <t>西南区</t>
        </is>
      </c>
      <c r="G187" s="8" t="inlineStr">
        <is>
          <t>CP009</t>
        </is>
      </c>
      <c r="H187" s="10" t="inlineStr">
        <is>
          <t>激光硒鼓 TonerMax 12A</t>
        </is>
      </c>
      <c r="I187" s="11" t="n">
        <v>385</v>
      </c>
      <c r="J187" s="8" t="n">
        <v>54</v>
      </c>
      <c r="K187" s="11" t="n">
        <v>20790</v>
      </c>
      <c r="L187" s="8" t="inlineStr">
        <is>
          <t>已发货</t>
        </is>
      </c>
    </row>
    <row r="188">
      <c r="A188" s="4" t="inlineStr">
        <is>
          <t>DD-20260729-0177</t>
        </is>
      </c>
      <c r="B188" s="5" t="n">
        <v>46232</v>
      </c>
      <c r="C188" s="4" t="inlineStr">
        <is>
          <t>KH010</t>
        </is>
      </c>
      <c r="D188" s="6" t="inlineStr">
        <is>
          <t>苏州创智科技</t>
        </is>
      </c>
      <c r="E188" s="4" t="inlineStr">
        <is>
          <t>赵磊</t>
        </is>
      </c>
      <c r="F188" s="4" t="inlineStr">
        <is>
          <t>华东</t>
        </is>
      </c>
      <c r="G188" s="4" t="inlineStr">
        <is>
          <t>CP001</t>
        </is>
      </c>
      <c r="H188" s="6" t="inlineStr">
        <is>
          <t>激光打印机 ProLaser 200</t>
        </is>
      </c>
      <c r="I188" s="7" t="n">
        <v>2499</v>
      </c>
      <c r="J188" s="4" t="n">
        <v>7</v>
      </c>
      <c r="K188" s="7" t="n">
        <v>19242.3</v>
      </c>
      <c r="L188" s="4" t="inlineStr">
        <is>
          <t>已发货</t>
        </is>
      </c>
    </row>
    <row r="189">
      <c r="A189" s="8" t="inlineStr">
        <is>
          <t>DD-20260731-0178</t>
        </is>
      </c>
      <c r="B189" s="8" t="inlineStr">
        <is>
          <t>2026年7月31日</t>
        </is>
      </c>
      <c r="C189" s="8" t="inlineStr">
        <is>
          <t>KH018</t>
        </is>
      </c>
      <c r="D189" s="10" t="inlineStr">
        <is>
          <t>厦门鹭岛文创</t>
        </is>
      </c>
      <c r="E189" s="8" t="inlineStr">
        <is>
          <t>赵磊</t>
        </is>
      </c>
      <c r="F189" s="8" t="inlineStr">
        <is>
          <t>华南</t>
        </is>
      </c>
      <c r="G189" s="8" t="inlineStr">
        <is>
          <t>CP011</t>
        </is>
      </c>
      <c r="H189" s="10" t="inlineStr">
        <is>
          <t>办公软件年费授权</t>
        </is>
      </c>
      <c r="I189" s="11" t="n">
        <v>699</v>
      </c>
      <c r="J189" s="8" t="n">
        <v>17</v>
      </c>
      <c r="K189" s="11" t="n">
        <v>11883</v>
      </c>
      <c r="L189" s="8" t="inlineStr">
        <is>
          <t>已完成</t>
        </is>
      </c>
    </row>
    <row r="190">
      <c r="A190" s="4" t="inlineStr">
        <is>
          <t>DD-20260801-0179</t>
        </is>
      </c>
      <c r="B190" s="5" t="n">
        <v>46235</v>
      </c>
      <c r="C190" s="4" t="inlineStr">
        <is>
          <t>KH015</t>
        </is>
      </c>
      <c r="D190" s="6" t="inlineStr">
        <is>
          <t>佛山美的家电商贸</t>
        </is>
      </c>
      <c r="E190" s="4" t="inlineStr">
        <is>
          <t>刘洋</t>
        </is>
      </c>
      <c r="F190" s="4" t="inlineStr">
        <is>
          <t>华南</t>
        </is>
      </c>
      <c r="G190" s="4" t="inlineStr">
        <is>
          <t>CP011</t>
        </is>
      </c>
      <c r="H190" s="6" t="inlineStr">
        <is>
          <t>办公软件年费授权</t>
        </is>
      </c>
      <c r="I190" s="7" t="n">
        <v>699</v>
      </c>
      <c r="J190" s="4" t="n">
        <v>8</v>
      </c>
      <c r="K190" s="7" t="n">
        <v>5032.8</v>
      </c>
      <c r="L190" s="4" t="inlineStr">
        <is>
          <t>已完成</t>
        </is>
      </c>
    </row>
    <row r="191">
      <c r="A191" s="8" t="inlineStr">
        <is>
          <t>DD-20260801-0180</t>
        </is>
      </c>
      <c r="B191" s="9" t="n">
        <v>46235</v>
      </c>
      <c r="C191" s="8" t="inlineStr">
        <is>
          <t>KH010</t>
        </is>
      </c>
      <c r="D191" s="10" t="inlineStr">
        <is>
          <t>苏州创智科技</t>
        </is>
      </c>
      <c r="E191" s="8" t="inlineStr">
        <is>
          <t>赵磊</t>
        </is>
      </c>
      <c r="F191" s="8" t="inlineStr">
        <is>
          <t>华东</t>
        </is>
      </c>
      <c r="G191" s="8" t="inlineStr">
        <is>
          <t>CP007</t>
        </is>
      </c>
      <c r="H191" s="10" t="inlineStr">
        <is>
          <t>无线键鼠套装 KeyFree 2.0</t>
        </is>
      </c>
      <c r="I191" s="11" t="n">
        <v>299</v>
      </c>
      <c r="J191" s="8" t="n">
        <v>3</v>
      </c>
      <c r="K191" s="11" t="n">
        <v>897</v>
      </c>
      <c r="L191" s="8" t="inlineStr">
        <is>
          <t>已完成</t>
        </is>
      </c>
    </row>
    <row r="192">
      <c r="A192" s="4" t="inlineStr">
        <is>
          <t>DD-20260804-0181</t>
        </is>
      </c>
      <c r="B192" s="5" t="n">
        <v>46238</v>
      </c>
      <c r="C192" s="4" t="inlineStr">
        <is>
          <t>KH007</t>
        </is>
      </c>
      <c r="D192" s="6" t="inlineStr">
        <is>
          <t>武汉长江实业</t>
        </is>
      </c>
      <c r="E192" s="4" t="inlineStr">
        <is>
          <t>李娜</t>
        </is>
      </c>
      <c r="F192" s="4" t="inlineStr">
        <is>
          <t>华中</t>
        </is>
      </c>
      <c r="G192" s="4" t="inlineStr">
        <is>
          <t>CP008</t>
        </is>
      </c>
      <c r="H192" s="6" t="inlineStr">
        <is>
          <t>A4复印纸（5包/箱）</t>
        </is>
      </c>
      <c r="I192" s="7" t="n">
        <v>128</v>
      </c>
      <c r="J192" s="4" t="n">
        <v>22</v>
      </c>
      <c r="K192" s="7" t="n">
        <v>2816</v>
      </c>
      <c r="L192" s="4" t="inlineStr">
        <is>
          <t>已完成</t>
        </is>
      </c>
    </row>
    <row r="193">
      <c r="A193" s="8" t="inlineStr">
        <is>
          <t>DD-20260804-0182</t>
        </is>
      </c>
      <c r="B193" s="9" t="n">
        <v>46238</v>
      </c>
      <c r="C193" s="8" t="inlineStr">
        <is>
          <t>KH002</t>
        </is>
      </c>
      <c r="D193" s="10" t="inlineStr">
        <is>
          <t>上海锦程贸易</t>
        </is>
      </c>
      <c r="E193" s="8" t="inlineStr">
        <is>
          <t>李娜</t>
        </is>
      </c>
      <c r="F193" s="8" t="inlineStr">
        <is>
          <t>华东</t>
        </is>
      </c>
      <c r="G193" s="8" t="inlineStr">
        <is>
          <t>CP009</t>
        </is>
      </c>
      <c r="H193" s="10" t="inlineStr">
        <is>
          <t>激光硒鼓 TonerMax 12A</t>
        </is>
      </c>
      <c r="I193" s="11" t="n">
        <v>385</v>
      </c>
      <c r="J193" s="8" t="n">
        <v>91</v>
      </c>
      <c r="K193" s="11" t="n">
        <v>35035</v>
      </c>
      <c r="L193" s="8" t="inlineStr">
        <is>
          <t>已完成</t>
        </is>
      </c>
    </row>
    <row r="194">
      <c r="A194" s="4" t="inlineStr">
        <is>
          <t>DD-20260805-0183</t>
        </is>
      </c>
      <c r="B194" s="5" t="n">
        <v>46239</v>
      </c>
      <c r="C194" s="4" t="inlineStr">
        <is>
          <t>KH005</t>
        </is>
      </c>
      <c r="D194" s="6" t="inlineStr">
        <is>
          <t>杭州云图信息</t>
        </is>
      </c>
      <c r="E194" s="4" t="inlineStr">
        <is>
          <t>李娜</t>
        </is>
      </c>
      <c r="F194" s="4" t="inlineStr">
        <is>
          <t>华东区</t>
        </is>
      </c>
      <c r="G194" s="4" t="inlineStr">
        <is>
          <t>CP011</t>
        </is>
      </c>
      <c r="H194" s="6" t="inlineStr">
        <is>
          <t>办公软件年费授权</t>
        </is>
      </c>
      <c r="I194" s="7" t="n">
        <v>699</v>
      </c>
      <c r="J194" s="4" t="n">
        <v>8</v>
      </c>
      <c r="K194" s="7" t="n">
        <v>5592</v>
      </c>
      <c r="L194" s="4" t="inlineStr">
        <is>
          <t>已发货</t>
        </is>
      </c>
    </row>
    <row r="195">
      <c r="A195" s="8" t="inlineStr">
        <is>
          <t>DD-20260806-0184</t>
        </is>
      </c>
      <c r="B195" s="9" t="n">
        <v>46240</v>
      </c>
      <c r="C195" s="8" t="inlineStr">
        <is>
          <t>KH013</t>
        </is>
      </c>
      <c r="D195" s="10" t="inlineStr">
        <is>
          <t>石家庄振华商贸</t>
        </is>
      </c>
      <c r="E195" s="8" t="inlineStr">
        <is>
          <t>李娜</t>
        </is>
      </c>
      <c r="F195" s="8" t="inlineStr">
        <is>
          <t>华北区</t>
        </is>
      </c>
      <c r="G195" s="8" t="inlineStr">
        <is>
          <t>CP007</t>
        </is>
      </c>
      <c r="H195" s="10" t="inlineStr">
        <is>
          <t>无线键鼠套装 KeyFree 2.0</t>
        </is>
      </c>
      <c r="I195" s="11" t="n">
        <v>299</v>
      </c>
      <c r="J195" s="8" t="inlineStr">
        <is>
          <t>7</t>
        </is>
      </c>
      <c r="K195" s="11" t="n">
        <v>2093</v>
      </c>
      <c r="L195" s="8" t="inlineStr">
        <is>
          <t>已发货</t>
        </is>
      </c>
    </row>
    <row r="196">
      <c r="A196" s="4" t="inlineStr">
        <is>
          <t>DD-20260806-0185</t>
        </is>
      </c>
      <c r="B196" s="5" t="n">
        <v>46240</v>
      </c>
      <c r="C196" s="4" t="inlineStr">
        <is>
          <t>KH016</t>
        </is>
      </c>
      <c r="D196" s="6" t="inlineStr">
        <is>
          <t>昆明滇池科技</t>
        </is>
      </c>
      <c r="E196" s="4" t="inlineStr">
        <is>
          <t>孙悦</t>
        </is>
      </c>
      <c r="F196" s="4" t="inlineStr">
        <is>
          <t>西南区</t>
        </is>
      </c>
      <c r="G196" s="4" t="inlineStr">
        <is>
          <t>CP004</t>
        </is>
      </c>
      <c r="H196" s="6" t="inlineStr">
        <is>
          <t>笔记本电脑 TechBook 14</t>
        </is>
      </c>
      <c r="I196" s="7" t="n">
        <v>5699</v>
      </c>
      <c r="J196" s="4" t="inlineStr">
        <is>
          <t>9</t>
        </is>
      </c>
      <c r="K196" s="7" t="n">
        <v>51291</v>
      </c>
      <c r="L196" s="4" t="inlineStr">
        <is>
          <t>已完成</t>
        </is>
      </c>
    </row>
    <row r="197">
      <c r="A197" s="8" t="inlineStr">
        <is>
          <t>DD-20260809-0186</t>
        </is>
      </c>
      <c r="B197" s="9" t="n">
        <v>46243</v>
      </c>
      <c r="C197" s="8" t="inlineStr">
        <is>
          <t>KH003</t>
        </is>
      </c>
      <c r="D197" s="10" t="inlineStr">
        <is>
          <t>广州启航教育</t>
        </is>
      </c>
      <c r="E197" s="8" t="inlineStr">
        <is>
          <t>王强</t>
        </is>
      </c>
      <c r="F197" s="8" t="inlineStr">
        <is>
          <t>华南</t>
        </is>
      </c>
      <c r="G197" s="8" t="inlineStr">
        <is>
          <t>CP002</t>
        </is>
      </c>
      <c r="H197" s="10" t="inlineStr">
        <is>
          <t>多功能一体机 PrintMaster 300</t>
        </is>
      </c>
      <c r="I197" s="11" t="n">
        <v>3599</v>
      </c>
      <c r="J197" s="8" t="n">
        <v>4</v>
      </c>
      <c r="K197" s="11" t="n">
        <v>14396</v>
      </c>
      <c r="L197" s="8" t="inlineStr">
        <is>
          <t>已完成</t>
        </is>
      </c>
    </row>
    <row r="198">
      <c r="A198" s="4" t="inlineStr">
        <is>
          <t>DD-20260810-0187</t>
        </is>
      </c>
      <c r="B198" s="4" t="inlineStr">
        <is>
          <t>2026/8/10</t>
        </is>
      </c>
      <c r="C198" s="4" t="inlineStr">
        <is>
          <t>KH019</t>
        </is>
      </c>
      <c r="D198" s="6" t="inlineStr">
        <is>
          <t>北京中关新材</t>
        </is>
      </c>
      <c r="E198" s="4" t="inlineStr">
        <is>
          <t>赵磊</t>
        </is>
      </c>
      <c r="F198" s="4" t="inlineStr">
        <is>
          <t>华北</t>
        </is>
      </c>
      <c r="G198" s="4" t="inlineStr">
        <is>
          <t>CP012</t>
        </is>
      </c>
      <c r="H198" s="6" t="inlineStr">
        <is>
          <t>云存储服务（1TB/年）</t>
        </is>
      </c>
      <c r="I198" s="7" t="n">
        <v>599</v>
      </c>
      <c r="J198" s="4" t="n">
        <v>37</v>
      </c>
      <c r="K198" s="7" t="n">
        <v>22163</v>
      </c>
      <c r="L198" s="4" t="inlineStr">
        <is>
          <t>已发货</t>
        </is>
      </c>
    </row>
    <row r="199">
      <c r="A199" s="8" t="inlineStr">
        <is>
          <t>DD-20260811-0188</t>
        </is>
      </c>
      <c r="B199" s="9" t="n">
        <v>46245</v>
      </c>
      <c r="C199" s="8" t="inlineStr">
        <is>
          <t>KH003</t>
        </is>
      </c>
      <c r="D199" s="10" t="inlineStr">
        <is>
          <t>广州启航教育</t>
        </is>
      </c>
      <c r="E199" s="8" t="inlineStr">
        <is>
          <t>赵磊</t>
        </is>
      </c>
      <c r="F199" s="8" t="inlineStr">
        <is>
          <t>华南区</t>
        </is>
      </c>
      <c r="G199" s="8" t="inlineStr">
        <is>
          <t>CP001</t>
        </is>
      </c>
      <c r="H199" s="10" t="inlineStr">
        <is>
          <t>激光打印机 ProLaser 200</t>
        </is>
      </c>
      <c r="I199" s="11" t="n">
        <v>2499</v>
      </c>
      <c r="J199" s="8" t="n">
        <v>8</v>
      </c>
      <c r="K199" s="11" t="n">
        <v>19992</v>
      </c>
      <c r="L199" s="8" t="inlineStr">
        <is>
          <t>待付款</t>
        </is>
      </c>
    </row>
    <row r="200">
      <c r="A200" s="4" t="inlineStr">
        <is>
          <t>DD-20260813-0189</t>
        </is>
      </c>
      <c r="B200" s="4" t="inlineStr">
        <is>
          <t>2026/8/13</t>
        </is>
      </c>
      <c r="C200" s="4" t="inlineStr">
        <is>
          <t>KH001</t>
        </is>
      </c>
      <c r="D200" s="6" t="inlineStr">
        <is>
          <t>北京华信科技</t>
        </is>
      </c>
      <c r="E200" s="4" t="inlineStr">
        <is>
          <t>孙悦</t>
        </is>
      </c>
      <c r="F200" s="4" t="inlineStr">
        <is>
          <t>华北</t>
        </is>
      </c>
      <c r="G200" s="4" t="inlineStr">
        <is>
          <t>CP008</t>
        </is>
      </c>
      <c r="H200" s="6" t="inlineStr">
        <is>
          <t>A4复印纸（5包/箱）</t>
        </is>
      </c>
      <c r="I200" s="7" t="n">
        <v>128</v>
      </c>
      <c r="J200" s="4" t="n">
        <v>67</v>
      </c>
      <c r="K200" s="7" t="n">
        <v>8576</v>
      </c>
      <c r="L200" s="4" t="inlineStr">
        <is>
          <t>已完成</t>
        </is>
      </c>
    </row>
    <row r="201">
      <c r="A201" s="8" t="inlineStr">
        <is>
          <t>DD-20260813-0190</t>
        </is>
      </c>
      <c r="B201" s="9" t="n">
        <v>46247</v>
      </c>
      <c r="C201" s="8" t="inlineStr">
        <is>
          <t>KH002</t>
        </is>
      </c>
      <c r="D201" s="10" t="inlineStr">
        <is>
          <t>上海锦程贸易</t>
        </is>
      </c>
      <c r="E201" s="8" t="inlineStr">
        <is>
          <t>赵磊</t>
        </is>
      </c>
      <c r="F201" s="8" t="inlineStr">
        <is>
          <t>华东</t>
        </is>
      </c>
      <c r="G201" s="8" t="inlineStr">
        <is>
          <t>CP001</t>
        </is>
      </c>
      <c r="H201" s="10" t="inlineStr">
        <is>
          <t>激光打印机 ProLaser 200</t>
        </is>
      </c>
      <c r="I201" s="11" t="n">
        <v>2499</v>
      </c>
      <c r="J201" s="8" t="n">
        <v>3</v>
      </c>
      <c r="K201" s="11" t="n">
        <v>6747.3</v>
      </c>
      <c r="L201" s="8" t="inlineStr">
        <is>
          <t>已发货</t>
        </is>
      </c>
    </row>
    <row r="202">
      <c r="A202" s="4" t="inlineStr">
        <is>
          <t>DD-20260814-0191</t>
        </is>
      </c>
      <c r="B202" s="5" t="n">
        <v>46248</v>
      </c>
      <c r="C202" s="4" t="inlineStr">
        <is>
          <t>KH005</t>
        </is>
      </c>
      <c r="D202" s="6" t="inlineStr">
        <is>
          <t>杭州云图信息</t>
        </is>
      </c>
      <c r="E202" s="4" t="inlineStr">
        <is>
          <t>赵磊</t>
        </is>
      </c>
      <c r="F202" s="4" t="inlineStr">
        <is>
          <t>华东区</t>
        </is>
      </c>
      <c r="G202" s="4" t="inlineStr">
        <is>
          <t>CP008</t>
        </is>
      </c>
      <c r="H202" s="6" t="inlineStr">
        <is>
          <t>A4复印纸（5包/箱）</t>
        </is>
      </c>
      <c r="I202" s="7" t="n">
        <v>128</v>
      </c>
      <c r="J202" s="4" t="n">
        <v>41</v>
      </c>
      <c r="K202" s="7" t="n">
        <v>5248</v>
      </c>
      <c r="L202" s="4" t="inlineStr">
        <is>
          <t>已完成</t>
        </is>
      </c>
    </row>
    <row r="203">
      <c r="A203" s="8" t="inlineStr">
        <is>
          <t>DD-20260815-0192</t>
        </is>
      </c>
      <c r="B203" s="9" t="n">
        <v>46249</v>
      </c>
      <c r="C203" s="8" t="inlineStr">
        <is>
          <t>KH019</t>
        </is>
      </c>
      <c r="D203" s="10" t="inlineStr">
        <is>
          <t>北京中关新材</t>
        </is>
      </c>
      <c r="E203" s="8" t="inlineStr">
        <is>
          <t>陈静</t>
        </is>
      </c>
      <c r="F203" s="8" t="inlineStr">
        <is>
          <t>华北区</t>
        </is>
      </c>
      <c r="G203" s="8" t="inlineStr">
        <is>
          <t>CP001</t>
        </is>
      </c>
      <c r="H203" s="10" t="inlineStr">
        <is>
          <t>激光打印机 ProLaser 200</t>
        </is>
      </c>
      <c r="I203" s="11" t="n">
        <v>2499</v>
      </c>
      <c r="J203" s="8" t="n">
        <v>3</v>
      </c>
      <c r="K203" s="11" t="n">
        <v>7497</v>
      </c>
      <c r="L203" s="8" t="inlineStr">
        <is>
          <t>已完成</t>
        </is>
      </c>
    </row>
    <row r="204">
      <c r="A204" s="4" t="inlineStr">
        <is>
          <t>DD-20260815-0193</t>
        </is>
      </c>
      <c r="B204" s="5" t="n">
        <v>46249</v>
      </c>
      <c r="C204" s="4" t="inlineStr">
        <is>
          <t>KH015</t>
        </is>
      </c>
      <c r="D204" s="6" t="inlineStr">
        <is>
          <t>佛山美的家电商贸</t>
        </is>
      </c>
      <c r="E204" s="4" t="inlineStr">
        <is>
          <t>刘洋</t>
        </is>
      </c>
      <c r="F204" s="4" t="inlineStr">
        <is>
          <t xml:space="preserve">华南 </t>
        </is>
      </c>
      <c r="G204" s="4" t="inlineStr">
        <is>
          <t>CP010</t>
        </is>
      </c>
      <c r="H204" s="6" t="inlineStr">
        <is>
          <t>签字笔盒装（12支）</t>
        </is>
      </c>
      <c r="I204" s="7" t="n">
        <v>45</v>
      </c>
      <c r="J204" s="4" t="n">
        <v>98</v>
      </c>
      <c r="K204" s="7" t="n">
        <v>4410</v>
      </c>
      <c r="L204" s="4" t="inlineStr">
        <is>
          <t>已完成</t>
        </is>
      </c>
    </row>
    <row r="205">
      <c r="A205" s="8" t="inlineStr">
        <is>
          <t>DD-20260815-0194</t>
        </is>
      </c>
      <c r="B205" s="9" t="n">
        <v>46249</v>
      </c>
      <c r="C205" s="8" t="inlineStr">
        <is>
          <t>KH015</t>
        </is>
      </c>
      <c r="D205" s="10" t="inlineStr">
        <is>
          <t>佛山美的家电商贸</t>
        </is>
      </c>
      <c r="E205" s="8" t="inlineStr">
        <is>
          <t>李娜</t>
        </is>
      </c>
      <c r="F205" s="8" t="inlineStr">
        <is>
          <t>华南</t>
        </is>
      </c>
      <c r="G205" s="8" t="inlineStr">
        <is>
          <t>CP007</t>
        </is>
      </c>
      <c r="H205" s="10" t="inlineStr">
        <is>
          <t>无线键鼠套装 KeyFree 2.0</t>
        </is>
      </c>
      <c r="I205" s="11" t="n">
        <v>299</v>
      </c>
      <c r="J205" s="8" t="n">
        <v>11</v>
      </c>
      <c r="K205" s="11" t="n">
        <v>3289</v>
      </c>
      <c r="L205" s="8" t="inlineStr">
        <is>
          <t>已完成</t>
        </is>
      </c>
    </row>
    <row r="206">
      <c r="A206" s="4" t="inlineStr">
        <is>
          <t>DD-20260815-0195</t>
        </is>
      </c>
      <c r="B206" s="5" t="n">
        <v>46249</v>
      </c>
      <c r="C206" s="4" t="inlineStr">
        <is>
          <t>KH012</t>
        </is>
      </c>
      <c r="D206" s="6" t="inlineStr">
        <is>
          <t>长沙麓山科技</t>
        </is>
      </c>
      <c r="E206" s="4" t="inlineStr">
        <is>
          <t>陈静</t>
        </is>
      </c>
      <c r="F206" s="4" t="inlineStr">
        <is>
          <t>华中</t>
        </is>
      </c>
      <c r="G206" s="4" t="inlineStr">
        <is>
          <t>CP006</t>
        </is>
      </c>
      <c r="H206" s="6" t="inlineStr">
        <is>
          <t>显示器 ViewMax 27</t>
        </is>
      </c>
      <c r="I206" s="7" t="n">
        <v>1299</v>
      </c>
      <c r="J206" s="4" t="n">
        <v>10</v>
      </c>
      <c r="K206" s="7" t="n">
        <v>12990</v>
      </c>
      <c r="L206" s="4" t="inlineStr">
        <is>
          <t>已完成</t>
        </is>
      </c>
    </row>
    <row r="207">
      <c r="A207" s="8" t="inlineStr">
        <is>
          <t>DD-20260816-0196</t>
        </is>
      </c>
      <c r="B207" s="9" t="n">
        <v>46250</v>
      </c>
      <c r="C207" s="8" t="inlineStr">
        <is>
          <t>KH016</t>
        </is>
      </c>
      <c r="D207" s="10" t="inlineStr">
        <is>
          <t>昆明滇池科技</t>
        </is>
      </c>
      <c r="E207" s="8" t="inlineStr">
        <is>
          <t>赵磊</t>
        </is>
      </c>
      <c r="F207" s="8" t="inlineStr">
        <is>
          <t>西南区</t>
        </is>
      </c>
      <c r="G207" s="8" t="inlineStr">
        <is>
          <t>CP008</t>
        </is>
      </c>
      <c r="H207" s="10" t="inlineStr">
        <is>
          <t>A4复印纸（5包/箱）</t>
        </is>
      </c>
      <c r="I207" s="11" t="n">
        <v>128</v>
      </c>
      <c r="J207" s="8" t="n">
        <v>77</v>
      </c>
      <c r="K207" s="11" t="n">
        <v>9856</v>
      </c>
      <c r="L207" s="8" t="inlineStr">
        <is>
          <t>已完成</t>
        </is>
      </c>
    </row>
    <row r="208">
      <c r="A208" s="4" t="inlineStr">
        <is>
          <t>DD-20260817-0197</t>
        </is>
      </c>
      <c r="B208" s="5" t="n">
        <v>46251</v>
      </c>
      <c r="C208" s="4" t="inlineStr">
        <is>
          <t>KH010</t>
        </is>
      </c>
      <c r="D208" s="6" t="inlineStr">
        <is>
          <t>苏州创智科技</t>
        </is>
      </c>
      <c r="E208" s="4" t="inlineStr">
        <is>
          <t>陈静</t>
        </is>
      </c>
      <c r="F208" s="4" t="inlineStr">
        <is>
          <t>华东</t>
        </is>
      </c>
      <c r="G208" s="4" t="inlineStr">
        <is>
          <t>CP005</t>
        </is>
      </c>
      <c r="H208" s="6" t="inlineStr">
        <is>
          <t>台式电脑 PowerDesk 500</t>
        </is>
      </c>
      <c r="I208" s="7" t="n">
        <v>4299</v>
      </c>
      <c r="J208" s="4" t="n">
        <v>8</v>
      </c>
      <c r="K208" s="7" t="n">
        <v>34392</v>
      </c>
      <c r="L208" s="4" t="inlineStr">
        <is>
          <t>已完成</t>
        </is>
      </c>
    </row>
    <row r="209">
      <c r="A209" s="8" t="inlineStr">
        <is>
          <t>DD-20260817-0198</t>
        </is>
      </c>
      <c r="B209" s="9" t="n">
        <v>46251</v>
      </c>
      <c r="C209" s="8" t="inlineStr">
        <is>
          <t>KH017</t>
        </is>
      </c>
      <c r="D209" s="10" t="inlineStr">
        <is>
          <t>郑州中原物流</t>
        </is>
      </c>
      <c r="E209" s="8" t="inlineStr">
        <is>
          <t>孙悦</t>
        </is>
      </c>
      <c r="F209" s="8" t="inlineStr">
        <is>
          <t>华中区</t>
        </is>
      </c>
      <c r="G209" s="8" t="inlineStr">
        <is>
          <t>CP005</t>
        </is>
      </c>
      <c r="H209" s="10" t="inlineStr">
        <is>
          <t>台式电脑 PowerDesk 500</t>
        </is>
      </c>
      <c r="I209" s="11" t="n">
        <v>4299</v>
      </c>
      <c r="J209" s="8" t="n">
        <v>12</v>
      </c>
      <c r="K209" s="11" t="n">
        <v>51588</v>
      </c>
      <c r="L209" s="8" t="inlineStr">
        <is>
          <t>已完成</t>
        </is>
      </c>
    </row>
    <row r="210">
      <c r="A210" s="4" t="inlineStr">
        <is>
          <t>DD-20260818-0199</t>
        </is>
      </c>
      <c r="B210" s="5" t="n">
        <v>46252</v>
      </c>
      <c r="C210" s="4" t="inlineStr">
        <is>
          <t>KH016</t>
        </is>
      </c>
      <c r="D210" s="6" t="inlineStr">
        <is>
          <t>昆明滇池科技</t>
        </is>
      </c>
      <c r="E210" s="4" t="inlineStr">
        <is>
          <t>陈静</t>
        </is>
      </c>
      <c r="F210" s="4" t="inlineStr">
        <is>
          <t>西南</t>
        </is>
      </c>
      <c r="G210" s="4" t="inlineStr">
        <is>
          <t>CP006</t>
        </is>
      </c>
      <c r="H210" s="6" t="inlineStr">
        <is>
          <t>显示器 ViewMax 27</t>
        </is>
      </c>
      <c r="I210" s="7" t="n">
        <v>1299</v>
      </c>
      <c r="J210" s="4" t="n">
        <v>5</v>
      </c>
      <c r="K210" s="7" t="n">
        <v>6495</v>
      </c>
      <c r="L210" s="4" t="inlineStr">
        <is>
          <t>已完成</t>
        </is>
      </c>
    </row>
    <row r="211">
      <c r="A211" s="8" t="inlineStr">
        <is>
          <t>DD-20260820-0200</t>
        </is>
      </c>
      <c r="B211" s="9" t="n">
        <v>46254</v>
      </c>
      <c r="C211" s="8" t="inlineStr">
        <is>
          <t>KH012</t>
        </is>
      </c>
      <c r="D211" s="10" t="inlineStr">
        <is>
          <t>长沙麓山科技</t>
        </is>
      </c>
      <c r="E211" s="8" t="inlineStr">
        <is>
          <t>杨帆</t>
        </is>
      </c>
      <c r="F211" s="8" t="inlineStr">
        <is>
          <t xml:space="preserve">华中 </t>
        </is>
      </c>
      <c r="G211" s="8" t="inlineStr">
        <is>
          <t>CP001</t>
        </is>
      </c>
      <c r="H211" s="10" t="inlineStr">
        <is>
          <t>激光打印机 ProLaser 200</t>
        </is>
      </c>
      <c r="I211" s="11" t="n">
        <v>2499</v>
      </c>
      <c r="J211" s="8" t="n">
        <v>4</v>
      </c>
      <c r="K211" s="13" t="inlineStr">
        <is>
          <t>¥9,996.00</t>
        </is>
      </c>
      <c r="L211" s="8" t="inlineStr">
        <is>
          <t>已发货</t>
        </is>
      </c>
    </row>
  </sheetData>
  <autoFilter ref="A3:L211"/>
  <mergeCells count="2">
    <mergeCell ref="A2:L2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10" customWidth="1" min="5" max="5"/>
    <col width="14" customWidth="1" min="6" max="6"/>
    <col width="10" customWidth="1" min="7" max="7"/>
    <col width="14" customWidth="1" min="8" max="8"/>
  </cols>
  <sheetData>
    <row r="1" ht="30" customHeight="1">
      <c r="A1" s="1" t="inlineStr">
        <is>
          <t>客户主数据（20家）</t>
        </is>
      </c>
    </row>
    <row r="2">
      <c r="A2" s="2" t="inlineStr">
        <is>
          <t>客户等级：A=重点客户 B=普通客户 C=小额客户。查找练习的标准数据源。</t>
        </is>
      </c>
    </row>
    <row r="3" ht="24" customHeight="1">
      <c r="A3" s="3" t="inlineStr">
        <is>
          <t>客户ID</t>
        </is>
      </c>
      <c r="B3" s="3" t="inlineStr">
        <is>
          <t>客户名称</t>
        </is>
      </c>
      <c r="C3" s="3" t="inlineStr">
        <is>
          <t>所属区域</t>
        </is>
      </c>
      <c r="D3" s="3" t="inlineStr">
        <is>
          <t>所属行业</t>
        </is>
      </c>
      <c r="E3" s="3" t="inlineStr">
        <is>
          <t>客户等级</t>
        </is>
      </c>
      <c r="F3" s="3" t="inlineStr">
        <is>
          <t>信用额度(万元)</t>
        </is>
      </c>
      <c r="G3" s="3" t="inlineStr">
        <is>
          <t>账期(天)</t>
        </is>
      </c>
      <c r="H3" s="3" t="inlineStr">
        <is>
          <t>合作起始日期</t>
        </is>
      </c>
    </row>
    <row r="4">
      <c r="A4" s="4" t="inlineStr">
        <is>
          <t>KH001</t>
        </is>
      </c>
      <c r="B4" s="6" t="inlineStr">
        <is>
          <t>北京华信科技</t>
        </is>
      </c>
      <c r="C4" s="4" t="inlineStr">
        <is>
          <t>华北</t>
        </is>
      </c>
      <c r="D4" s="4" t="inlineStr">
        <is>
          <t>互联网</t>
        </is>
      </c>
      <c r="E4" s="4" t="inlineStr">
        <is>
          <t>A</t>
        </is>
      </c>
      <c r="F4" s="14" t="n">
        <v>55</v>
      </c>
      <c r="G4" s="4" t="n">
        <v>30</v>
      </c>
      <c r="H4" s="5" t="n">
        <v>43536</v>
      </c>
    </row>
    <row r="5">
      <c r="A5" s="8" t="inlineStr">
        <is>
          <t>KH002</t>
        </is>
      </c>
      <c r="B5" s="10" t="inlineStr">
        <is>
          <t>上海锦程贸易</t>
        </is>
      </c>
      <c r="C5" s="8" t="inlineStr">
        <is>
          <t>华东</t>
        </is>
      </c>
      <c r="D5" s="8" t="inlineStr">
        <is>
          <t>零售</t>
        </is>
      </c>
      <c r="E5" s="8" t="inlineStr">
        <is>
          <t>B</t>
        </is>
      </c>
      <c r="F5" s="15" t="n">
        <v>32</v>
      </c>
      <c r="G5" s="8" t="n">
        <v>45</v>
      </c>
      <c r="H5" s="9" t="n">
        <v>43983</v>
      </c>
    </row>
    <row r="6">
      <c r="A6" s="4" t="inlineStr">
        <is>
          <t>KH003</t>
        </is>
      </c>
      <c r="B6" s="6" t="inlineStr">
        <is>
          <t>广州启航教育</t>
        </is>
      </c>
      <c r="C6" s="4" t="inlineStr">
        <is>
          <t>华南</t>
        </is>
      </c>
      <c r="D6" s="4" t="inlineStr">
        <is>
          <t>教育</t>
        </is>
      </c>
      <c r="E6" s="4" t="inlineStr">
        <is>
          <t>A</t>
        </is>
      </c>
      <c r="F6" s="14" t="n">
        <v>60</v>
      </c>
      <c r="G6" s="4" t="n">
        <v>30</v>
      </c>
      <c r="H6" s="5" t="n">
        <v>43363</v>
      </c>
    </row>
    <row r="7">
      <c r="A7" s="8" t="inlineStr">
        <is>
          <t>KH004</t>
        </is>
      </c>
      <c r="B7" s="10" t="inlineStr">
        <is>
          <t>深圳蓝鲸网络</t>
        </is>
      </c>
      <c r="C7" s="8" t="inlineStr">
        <is>
          <t>华南</t>
        </is>
      </c>
      <c r="D7" s="8" t="inlineStr">
        <is>
          <t>互联网</t>
        </is>
      </c>
      <c r="E7" s="8" t="inlineStr">
        <is>
          <t>B</t>
        </is>
      </c>
      <c r="F7" s="15" t="n">
        <v>40</v>
      </c>
      <c r="G7" s="8" t="n">
        <v>30</v>
      </c>
      <c r="H7" s="9" t="n">
        <v>44211</v>
      </c>
    </row>
    <row r="8">
      <c r="A8" s="4" t="inlineStr">
        <is>
          <t>KH005</t>
        </is>
      </c>
      <c r="B8" s="6" t="inlineStr">
        <is>
          <t>杭州云图信息</t>
        </is>
      </c>
      <c r="C8" s="4" t="inlineStr">
        <is>
          <t>华东</t>
        </is>
      </c>
      <c r="D8" s="4" t="inlineStr">
        <is>
          <t>互联网</t>
        </is>
      </c>
      <c r="E8" s="4" t="inlineStr">
        <is>
          <t>A</t>
        </is>
      </c>
      <c r="F8" s="14" t="n">
        <v>50</v>
      </c>
      <c r="G8" s="4" t="n">
        <v>60</v>
      </c>
      <c r="H8" s="5" t="n">
        <v>44143</v>
      </c>
    </row>
    <row r="9">
      <c r="A9" s="8" t="inlineStr">
        <is>
          <t>KH006</t>
        </is>
      </c>
      <c r="B9" s="10" t="inlineStr">
        <is>
          <t>成都天府商贸</t>
        </is>
      </c>
      <c r="C9" s="8" t="inlineStr">
        <is>
          <t>西南</t>
        </is>
      </c>
      <c r="D9" s="8" t="inlineStr">
        <is>
          <t>零售</t>
        </is>
      </c>
      <c r="E9" s="8" t="inlineStr">
        <is>
          <t>C</t>
        </is>
      </c>
      <c r="F9" s="15" t="n">
        <v>20</v>
      </c>
      <c r="G9" s="8" t="n">
        <v>45</v>
      </c>
      <c r="H9" s="9" t="n">
        <v>44625</v>
      </c>
    </row>
    <row r="10">
      <c r="A10" s="4" t="inlineStr">
        <is>
          <t>KH007</t>
        </is>
      </c>
      <c r="B10" s="6" t="inlineStr">
        <is>
          <t>武汉长江实业</t>
        </is>
      </c>
      <c r="C10" s="4" t="inlineStr">
        <is>
          <t>华中</t>
        </is>
      </c>
      <c r="D10" s="4" t="inlineStr">
        <is>
          <t>制造业</t>
        </is>
      </c>
      <c r="E10" s="4" t="inlineStr">
        <is>
          <t>B</t>
        </is>
      </c>
      <c r="F10" s="14" t="n">
        <v>35</v>
      </c>
      <c r="G10" s="4" t="n">
        <v>60</v>
      </c>
      <c r="H10" s="5" t="n">
        <v>43668</v>
      </c>
    </row>
    <row r="11">
      <c r="A11" s="8" t="inlineStr">
        <is>
          <t>KH008</t>
        </is>
      </c>
      <c r="B11" s="10" t="inlineStr">
        <is>
          <t>南京紫金山软件园运营</t>
        </is>
      </c>
      <c r="C11" s="8" t="inlineStr">
        <is>
          <t>华东</t>
        </is>
      </c>
      <c r="D11" s="8" t="inlineStr">
        <is>
          <t>互联网</t>
        </is>
      </c>
      <c r="E11" s="8" t="inlineStr">
        <is>
          <t>C</t>
        </is>
      </c>
      <c r="F11" s="15" t="n">
        <v>25</v>
      </c>
      <c r="G11" s="8" t="n">
        <v>30</v>
      </c>
      <c r="H11" s="9" t="n">
        <v>44438</v>
      </c>
    </row>
    <row r="12">
      <c r="A12" s="4" t="inlineStr">
        <is>
          <t>KH009</t>
        </is>
      </c>
      <c r="B12" s="6" t="inlineStr">
        <is>
          <t>天津海河传媒</t>
        </is>
      </c>
      <c r="C12" s="4" t="inlineStr">
        <is>
          <t>华北</t>
        </is>
      </c>
      <c r="D12" s="4" t="inlineStr">
        <is>
          <t>文化传媒</t>
        </is>
      </c>
      <c r="E12" s="4" t="inlineStr">
        <is>
          <t>C</t>
        </is>
      </c>
      <c r="F12" s="14" t="n">
        <v>15</v>
      </c>
      <c r="G12" s="4" t="n">
        <v>45</v>
      </c>
      <c r="H12" s="5" t="n">
        <v>44698</v>
      </c>
    </row>
    <row r="13">
      <c r="A13" s="8" t="inlineStr">
        <is>
          <t>KH010</t>
        </is>
      </c>
      <c r="B13" s="10" t="inlineStr">
        <is>
          <t>苏州创智科技</t>
        </is>
      </c>
      <c r="C13" s="8" t="inlineStr">
        <is>
          <t>华东</t>
        </is>
      </c>
      <c r="D13" s="8" t="inlineStr">
        <is>
          <t>制造业</t>
        </is>
      </c>
      <c r="E13" s="8" t="inlineStr">
        <is>
          <t>A</t>
        </is>
      </c>
      <c r="F13" s="15" t="n">
        <v>55</v>
      </c>
      <c r="G13" s="8" t="n">
        <v>30</v>
      </c>
      <c r="H13" s="9" t="n">
        <v>43887</v>
      </c>
    </row>
    <row r="14">
      <c r="A14" s="4" t="inlineStr">
        <is>
          <t>KH011</t>
        </is>
      </c>
      <c r="B14" s="6" t="inlineStr">
        <is>
          <t>重庆山城办公设备</t>
        </is>
      </c>
      <c r="C14" s="4" t="inlineStr">
        <is>
          <t>西南</t>
        </is>
      </c>
      <c r="D14" s="4" t="inlineStr">
        <is>
          <t>零售</t>
        </is>
      </c>
      <c r="E14" s="4" t="inlineStr">
        <is>
          <t>B</t>
        </is>
      </c>
      <c r="F14" s="14" t="n">
        <v>28</v>
      </c>
      <c r="G14" s="4" t="n">
        <v>45</v>
      </c>
      <c r="H14" s="5" t="n">
        <v>44480</v>
      </c>
    </row>
    <row r="15">
      <c r="A15" s="8" t="inlineStr">
        <is>
          <t>KH012</t>
        </is>
      </c>
      <c r="B15" s="10" t="inlineStr">
        <is>
          <t>长沙麓山科技</t>
        </is>
      </c>
      <c r="C15" s="8" t="inlineStr">
        <is>
          <t>华中</t>
        </is>
      </c>
      <c r="D15" s="8" t="inlineStr">
        <is>
          <t>互联网</t>
        </is>
      </c>
      <c r="E15" s="8" t="inlineStr">
        <is>
          <t>B</t>
        </is>
      </c>
      <c r="F15" s="15" t="n">
        <v>32</v>
      </c>
      <c r="G15" s="8" t="n">
        <v>30</v>
      </c>
      <c r="H15" s="9" t="n">
        <v>44168</v>
      </c>
    </row>
    <row r="16">
      <c r="A16" s="4" t="inlineStr">
        <is>
          <t>KH013</t>
        </is>
      </c>
      <c r="B16" s="6" t="inlineStr">
        <is>
          <t>石家庄振华商贸</t>
        </is>
      </c>
      <c r="C16" s="4" t="inlineStr">
        <is>
          <t>华北</t>
        </is>
      </c>
      <c r="D16" s="4" t="inlineStr">
        <is>
          <t>零售</t>
        </is>
      </c>
      <c r="E16" s="4" t="inlineStr">
        <is>
          <t>C</t>
        </is>
      </c>
      <c r="F16" s="14" t="n">
        <v>18</v>
      </c>
      <c r="G16" s="4" t="n">
        <v>60</v>
      </c>
      <c r="H16" s="5" t="n">
        <v>44782</v>
      </c>
    </row>
    <row r="17">
      <c r="A17" s="8" t="inlineStr">
        <is>
          <t>KH014</t>
        </is>
      </c>
      <c r="B17" s="10" t="inlineStr">
        <is>
          <t>宁波海港实业</t>
        </is>
      </c>
      <c r="C17" s="8" t="inlineStr">
        <is>
          <t>华东</t>
        </is>
      </c>
      <c r="D17" s="8" t="inlineStr">
        <is>
          <t>制造业</t>
        </is>
      </c>
      <c r="E17" s="8" t="inlineStr">
        <is>
          <t>B</t>
        </is>
      </c>
      <c r="F17" s="15" t="n">
        <v>36</v>
      </c>
      <c r="G17" s="8" t="n">
        <v>45</v>
      </c>
      <c r="H17" s="9" t="n">
        <v>43796</v>
      </c>
    </row>
    <row r="18">
      <c r="A18" s="4" t="inlineStr">
        <is>
          <t>KH015</t>
        </is>
      </c>
      <c r="B18" s="6" t="inlineStr">
        <is>
          <t>佛山美的家电商贸</t>
        </is>
      </c>
      <c r="C18" s="4" t="inlineStr">
        <is>
          <t>华南</t>
        </is>
      </c>
      <c r="D18" s="4" t="inlineStr">
        <is>
          <t>制造业</t>
        </is>
      </c>
      <c r="E18" s="4" t="inlineStr">
        <is>
          <t>A</t>
        </is>
      </c>
      <c r="F18" s="14" t="n">
        <v>48</v>
      </c>
      <c r="G18" s="4" t="n">
        <v>30</v>
      </c>
      <c r="H18" s="5" t="n">
        <v>44304</v>
      </c>
    </row>
    <row r="19">
      <c r="A19" s="8" t="inlineStr">
        <is>
          <t>KH016</t>
        </is>
      </c>
      <c r="B19" s="10" t="inlineStr">
        <is>
          <t>昆明滇池科技</t>
        </is>
      </c>
      <c r="C19" s="8" t="inlineStr">
        <is>
          <t>西南</t>
        </is>
      </c>
      <c r="D19" s="8" t="inlineStr">
        <is>
          <t>互联网</t>
        </is>
      </c>
      <c r="E19" s="8" t="inlineStr">
        <is>
          <t>C</t>
        </is>
      </c>
      <c r="F19" s="15" t="n">
        <v>15</v>
      </c>
      <c r="G19" s="8" t="n">
        <v>30</v>
      </c>
      <c r="H19" s="9" t="n">
        <v>44811</v>
      </c>
    </row>
    <row r="20">
      <c r="A20" s="4" t="inlineStr">
        <is>
          <t>KH017</t>
        </is>
      </c>
      <c r="B20" s="6" t="inlineStr">
        <is>
          <t>郑州中原物流</t>
        </is>
      </c>
      <c r="C20" s="4" t="inlineStr">
        <is>
          <t>华中</t>
        </is>
      </c>
      <c r="D20" s="4" t="inlineStr">
        <is>
          <t>物流</t>
        </is>
      </c>
      <c r="E20" s="4" t="inlineStr">
        <is>
          <t>B</t>
        </is>
      </c>
      <c r="F20" s="14" t="n">
        <v>30</v>
      </c>
      <c r="G20" s="4" t="n">
        <v>60</v>
      </c>
      <c r="H20" s="5" t="n">
        <v>44057</v>
      </c>
    </row>
    <row r="21">
      <c r="A21" s="8" t="inlineStr">
        <is>
          <t>KH018</t>
        </is>
      </c>
      <c r="B21" s="10" t="inlineStr">
        <is>
          <t>厦门鹭岛文创</t>
        </is>
      </c>
      <c r="C21" s="8" t="inlineStr">
        <is>
          <t>华南</t>
        </is>
      </c>
      <c r="D21" s="8" t="inlineStr">
        <is>
          <t>文化传媒</t>
        </is>
      </c>
      <c r="E21" s="8" t="inlineStr">
        <is>
          <t>C</t>
        </is>
      </c>
      <c r="F21" s="15" t="n">
        <v>16</v>
      </c>
      <c r="G21" s="8" t="n">
        <v>45</v>
      </c>
      <c r="H21" s="9" t="n">
        <v>44532</v>
      </c>
    </row>
    <row r="22">
      <c r="A22" s="4" t="inlineStr">
        <is>
          <t>KH019</t>
        </is>
      </c>
      <c r="B22" s="6" t="inlineStr">
        <is>
          <t>北京中关新材</t>
        </is>
      </c>
      <c r="C22" s="4" t="inlineStr">
        <is>
          <t>华北</t>
        </is>
      </c>
      <c r="D22" s="4" t="inlineStr">
        <is>
          <t>制造业</t>
        </is>
      </c>
      <c r="E22" s="4" t="inlineStr">
        <is>
          <t>B</t>
        </is>
      </c>
      <c r="F22" s="14" t="n">
        <v>33</v>
      </c>
      <c r="G22" s="4" t="n">
        <v>30</v>
      </c>
      <c r="H22" s="5" t="n">
        <v>44370</v>
      </c>
    </row>
    <row r="23">
      <c r="A23" s="8" t="inlineStr">
        <is>
          <t>KH020</t>
        </is>
      </c>
      <c r="B23" s="10" t="inlineStr">
        <is>
          <t>合肥科大国创</t>
        </is>
      </c>
      <c r="C23" s="8" t="inlineStr">
        <is>
          <t>华东</t>
        </is>
      </c>
      <c r="D23" s="8" t="inlineStr">
        <is>
          <t>教育</t>
        </is>
      </c>
      <c r="E23" s="8" t="inlineStr">
        <is>
          <t>C</t>
        </is>
      </c>
      <c r="F23" s="15" t="n">
        <v>22</v>
      </c>
      <c r="G23" s="8" t="n">
        <v>45</v>
      </c>
      <c r="H23" s="9" t="n">
        <v>44571</v>
      </c>
    </row>
  </sheetData>
  <autoFilter ref="A3:H23"/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3" customWidth="1" min="4" max="4"/>
    <col width="13" customWidth="1" min="5" max="5"/>
    <col width="16" customWidth="1" min="6" max="6"/>
  </cols>
  <sheetData>
    <row r="1" ht="30" customHeight="1">
      <c r="A1" s="1" t="inlineStr">
        <is>
          <t>产品主数据（12个）</t>
        </is>
      </c>
    </row>
    <row r="2">
      <c r="A2" s="2" t="inlineStr">
        <is>
          <t>毛利计算数据源：毛利 = 标准单价 × 数量 − 单位成本 × 数量（结合折扣另算，见题目）。</t>
        </is>
      </c>
    </row>
    <row r="3" ht="24" customHeight="1">
      <c r="A3" s="3" t="inlineStr">
        <is>
          <t>产品编码</t>
        </is>
      </c>
      <c r="B3" s="3" t="inlineStr">
        <is>
          <t>产品名称</t>
        </is>
      </c>
      <c r="C3" s="3" t="inlineStr">
        <is>
          <t>类别</t>
        </is>
      </c>
      <c r="D3" s="3" t="inlineStr">
        <is>
          <t>标准单价(元)</t>
        </is>
      </c>
      <c r="E3" s="3" t="inlineStr">
        <is>
          <t>单位成本(元)</t>
        </is>
      </c>
      <c r="F3" s="3" t="inlineStr">
        <is>
          <t>供应商</t>
        </is>
      </c>
    </row>
    <row r="4">
      <c r="A4" s="4" t="inlineStr">
        <is>
          <t>CP001</t>
        </is>
      </c>
      <c r="B4" s="6" t="inlineStr">
        <is>
          <t>激光打印机 ProLaser 200</t>
        </is>
      </c>
      <c r="C4" s="4" t="inlineStr">
        <is>
          <t>办公设备</t>
        </is>
      </c>
      <c r="D4" s="7" t="n">
        <v>2499</v>
      </c>
      <c r="E4" s="7" t="n">
        <v>1850</v>
      </c>
      <c r="F4" s="6" t="inlineStr">
        <is>
          <t>惠普商用分销</t>
        </is>
      </c>
    </row>
    <row r="5">
      <c r="A5" s="8" t="inlineStr">
        <is>
          <t>CP002</t>
        </is>
      </c>
      <c r="B5" s="10" t="inlineStr">
        <is>
          <t>多功能一体机 PrintMaster 300</t>
        </is>
      </c>
      <c r="C5" s="8" t="inlineStr">
        <is>
          <t>办公设备</t>
        </is>
      </c>
      <c r="D5" s="11" t="n">
        <v>3599</v>
      </c>
      <c r="E5" s="11" t="n">
        <v>2700</v>
      </c>
      <c r="F5" s="10" t="inlineStr">
        <is>
          <t>佳能(中国)</t>
        </is>
      </c>
    </row>
    <row r="6">
      <c r="A6" s="4" t="inlineStr">
        <is>
          <t>CP003</t>
        </is>
      </c>
      <c r="B6" s="6" t="inlineStr">
        <is>
          <t>碎纸机 SafeCut S8</t>
        </is>
      </c>
      <c r="C6" s="4" t="inlineStr">
        <is>
          <t>办公设备</t>
        </is>
      </c>
      <c r="D6" s="7" t="n">
        <v>899</v>
      </c>
      <c r="E6" s="7" t="n">
        <v>620</v>
      </c>
      <c r="F6" s="6" t="inlineStr">
        <is>
          <t>得力集团</t>
        </is>
      </c>
    </row>
    <row r="7">
      <c r="A7" s="8" t="inlineStr">
        <is>
          <t>CP004</t>
        </is>
      </c>
      <c r="B7" s="10" t="inlineStr">
        <is>
          <t>笔记本电脑 TechBook 14</t>
        </is>
      </c>
      <c r="C7" s="8" t="inlineStr">
        <is>
          <t>电子数码</t>
        </is>
      </c>
      <c r="D7" s="11" t="n">
        <v>5699</v>
      </c>
      <c r="E7" s="11" t="n">
        <v>4800</v>
      </c>
      <c r="F7" s="10" t="inlineStr">
        <is>
          <t>联想授权经销商</t>
        </is>
      </c>
    </row>
    <row r="8">
      <c r="A8" s="4" t="inlineStr">
        <is>
          <t>CP005</t>
        </is>
      </c>
      <c r="B8" s="6" t="inlineStr">
        <is>
          <t>台式电脑 PowerDesk 500</t>
        </is>
      </c>
      <c r="C8" s="4" t="inlineStr">
        <is>
          <t>电子数码</t>
        </is>
      </c>
      <c r="D8" s="7" t="n">
        <v>4299</v>
      </c>
      <c r="E8" s="7" t="n">
        <v>3500</v>
      </c>
      <c r="F8" s="6" t="inlineStr">
        <is>
          <t>联想授权经销商</t>
        </is>
      </c>
    </row>
    <row r="9">
      <c r="A9" s="8" t="inlineStr">
        <is>
          <t>CP006</t>
        </is>
      </c>
      <c r="B9" s="10" t="inlineStr">
        <is>
          <t>显示器 ViewMax 27</t>
        </is>
      </c>
      <c r="C9" s="8" t="inlineStr">
        <is>
          <t>电子数码</t>
        </is>
      </c>
      <c r="D9" s="11" t="n">
        <v>1299</v>
      </c>
      <c r="E9" s="11" t="n">
        <v>950</v>
      </c>
      <c r="F9" s="10" t="inlineStr">
        <is>
          <t>戴尔金牌店</t>
        </is>
      </c>
    </row>
    <row r="10">
      <c r="A10" s="4" t="inlineStr">
        <is>
          <t>CP007</t>
        </is>
      </c>
      <c r="B10" s="6" t="inlineStr">
        <is>
          <t>无线键鼠套装 KeyFree 2.0</t>
        </is>
      </c>
      <c r="C10" s="4" t="inlineStr">
        <is>
          <t>电子数码</t>
        </is>
      </c>
      <c r="D10" s="7" t="n">
        <v>299</v>
      </c>
      <c r="E10" s="7" t="n">
        <v>190</v>
      </c>
      <c r="F10" s="6" t="inlineStr">
        <is>
          <t>罗技分销</t>
        </is>
      </c>
    </row>
    <row r="11">
      <c r="A11" s="8" t="inlineStr">
        <is>
          <t>CP008</t>
        </is>
      </c>
      <c r="B11" s="10" t="inlineStr">
        <is>
          <t>A4复印纸（5包/箱）</t>
        </is>
      </c>
      <c r="C11" s="8" t="inlineStr">
        <is>
          <t>办公耗材</t>
        </is>
      </c>
      <c r="D11" s="11" t="n">
        <v>128</v>
      </c>
      <c r="E11" s="11" t="n">
        <v>95</v>
      </c>
      <c r="F11" s="10" t="inlineStr">
        <is>
          <t>得力集团</t>
        </is>
      </c>
    </row>
    <row r="12">
      <c r="A12" s="4" t="inlineStr">
        <is>
          <t>CP009</t>
        </is>
      </c>
      <c r="B12" s="6" t="inlineStr">
        <is>
          <t>激光硒鼓 TonerMax 12A</t>
        </is>
      </c>
      <c r="C12" s="4" t="inlineStr">
        <is>
          <t>办公耗材</t>
        </is>
      </c>
      <c r="D12" s="7" t="n">
        <v>385</v>
      </c>
      <c r="E12" s="7" t="n">
        <v>260</v>
      </c>
      <c r="F12" s="6" t="inlineStr">
        <is>
          <t>格之格</t>
        </is>
      </c>
    </row>
    <row r="13">
      <c r="A13" s="8" t="inlineStr">
        <is>
          <t>CP010</t>
        </is>
      </c>
      <c r="B13" s="10" t="inlineStr">
        <is>
          <t>签字笔盒装（12支）</t>
        </is>
      </c>
      <c r="C13" s="8" t="inlineStr">
        <is>
          <t>办公耗材</t>
        </is>
      </c>
      <c r="D13" s="11" t="n">
        <v>45</v>
      </c>
      <c r="E13" s="11" t="n">
        <v>28</v>
      </c>
      <c r="F13" s="10" t="inlineStr">
        <is>
          <t>晨光文具</t>
        </is>
      </c>
    </row>
    <row r="14">
      <c r="A14" s="4" t="inlineStr">
        <is>
          <t>CP011</t>
        </is>
      </c>
      <c r="B14" s="6" t="inlineStr">
        <is>
          <t>办公软件年费授权</t>
        </is>
      </c>
      <c r="C14" s="4" t="inlineStr">
        <is>
          <t>软件服务</t>
        </is>
      </c>
      <c r="D14" s="7" t="n">
        <v>699</v>
      </c>
      <c r="E14" s="7" t="n">
        <v>300</v>
      </c>
      <c r="F14" s="6" t="inlineStr">
        <is>
          <t>金山软件</t>
        </is>
      </c>
    </row>
    <row r="15">
      <c r="A15" s="8" t="inlineStr">
        <is>
          <t>CP012</t>
        </is>
      </c>
      <c r="B15" s="10" t="inlineStr">
        <is>
          <t>云存储服务（1TB/年）</t>
        </is>
      </c>
      <c r="C15" s="8" t="inlineStr">
        <is>
          <t>软件服务</t>
        </is>
      </c>
      <c r="D15" s="11" t="n">
        <v>599</v>
      </c>
      <c r="E15" s="11" t="n">
        <v>250</v>
      </c>
      <c r="F15" s="10" t="inlineStr">
        <is>
          <t>阿里云渠道</t>
        </is>
      </c>
    </row>
  </sheetData>
  <autoFilter ref="A3:F15"/>
  <mergeCells count="2">
    <mergeCell ref="A2:F2"/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</cols>
  <sheetData>
    <row r="1" ht="30" customHeight="1">
      <c r="A1" s="1" t="inlineStr">
        <is>
          <t>数量折扣阶梯表</t>
        </is>
      </c>
    </row>
    <row r="2">
      <c r="A2" s="2" t="inlineStr">
        <is>
          <t>VLOOKUP 近似匹配（第4参数TRUE）练习用。注意：首列必须升序排列才能正确匹配。</t>
        </is>
      </c>
    </row>
    <row r="3" ht="24" customHeight="1">
      <c r="A3" s="3" t="inlineStr">
        <is>
          <t>数量下限(件)</t>
        </is>
      </c>
      <c r="B3" s="3" t="inlineStr">
        <is>
          <t>折扣率</t>
        </is>
      </c>
      <c r="C3" s="3" t="inlineStr">
        <is>
          <t>说明</t>
        </is>
      </c>
    </row>
    <row r="4">
      <c r="A4" s="4" t="n">
        <v>1</v>
      </c>
      <c r="B4" s="16" t="n">
        <v>1</v>
      </c>
      <c r="C4" s="4" t="inlineStr">
        <is>
          <t>1~9件 按原价</t>
        </is>
      </c>
    </row>
    <row r="5">
      <c r="A5" s="8" t="n">
        <v>10</v>
      </c>
      <c r="B5" s="17" t="n">
        <v>0.95</v>
      </c>
      <c r="C5" s="8" t="inlineStr">
        <is>
          <t>10~49件 95折</t>
        </is>
      </c>
    </row>
    <row r="6">
      <c r="A6" s="4" t="n">
        <v>50</v>
      </c>
      <c r="B6" s="16" t="n">
        <v>0.9</v>
      </c>
      <c r="C6" s="4" t="inlineStr">
        <is>
          <t>50~99件 9折</t>
        </is>
      </c>
    </row>
    <row r="7">
      <c r="A7" s="8" t="n">
        <v>100</v>
      </c>
      <c r="B7" s="17" t="n">
        <v>0.85</v>
      </c>
      <c r="C7" s="8" t="inlineStr">
        <is>
          <t>100件及以上 85折</t>
        </is>
      </c>
    </row>
  </sheetData>
  <autoFilter ref="A3:C7"/>
  <mergeCells count="2">
    <mergeCell ref="A1:C1"/>
    <mergeCell ref="A2:C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2026年1-8月 各区域销售目标（元）</t>
        </is>
      </c>
    </row>
    <row r="2">
      <c r="A2" s="2" t="inlineStr">
        <is>
          <t>完成率练习：实际 = 清洗后订单表按区域汇总金额；是否剔除「已取消」订单由自己定口径并说明。</t>
        </is>
      </c>
    </row>
    <row r="3" ht="24" customHeight="1">
      <c r="A3" s="3" t="inlineStr">
        <is>
          <t>区域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2026-04</t>
        </is>
      </c>
      <c r="F3" s="3" t="inlineStr">
        <is>
          <t>2026-05</t>
        </is>
      </c>
      <c r="G3" s="3" t="inlineStr">
        <is>
          <t>2026-06</t>
        </is>
      </c>
      <c r="H3" s="3" t="inlineStr">
        <is>
          <t>2026-07</t>
        </is>
      </c>
      <c r="I3" s="3" t="inlineStr">
        <is>
          <t>2026-08</t>
        </is>
      </c>
      <c r="J3" s="3" t="inlineStr">
        <is>
          <t>合计</t>
        </is>
      </c>
    </row>
    <row r="4">
      <c r="A4" s="4" t="inlineStr">
        <is>
          <t>华东</t>
        </is>
      </c>
      <c r="B4" s="18" t="n">
        <v>23000</v>
      </c>
      <c r="C4" s="18" t="n">
        <v>129000</v>
      </c>
      <c r="D4" s="18" t="n">
        <v>108000</v>
      </c>
      <c r="E4" s="18" t="n">
        <v>104000</v>
      </c>
      <c r="F4" s="18" t="n">
        <v>292000</v>
      </c>
      <c r="G4" s="18" t="n">
        <v>110000</v>
      </c>
      <c r="H4" s="18" t="n">
        <v>162000</v>
      </c>
      <c r="I4" s="18" t="n">
        <v>82000</v>
      </c>
      <c r="J4" s="12">
        <f>SUM(B4:I4)</f>
        <v/>
      </c>
    </row>
    <row r="5">
      <c r="A5" s="8" t="inlineStr">
        <is>
          <t>华北</t>
        </is>
      </c>
      <c r="B5" s="19" t="n">
        <v>29000</v>
      </c>
      <c r="C5" s="19" t="n">
        <v>30000</v>
      </c>
      <c r="D5" s="19" t="n">
        <v>77000</v>
      </c>
      <c r="E5" s="19" t="n">
        <v>23000</v>
      </c>
      <c r="F5" s="19" t="n">
        <v>143000</v>
      </c>
      <c r="G5" s="19" t="n">
        <v>122000</v>
      </c>
      <c r="H5" s="19" t="n">
        <v>116000</v>
      </c>
      <c r="I5" s="19" t="n">
        <v>43000</v>
      </c>
      <c r="J5" s="13">
        <f>SUM(B5:I5)</f>
        <v/>
      </c>
    </row>
    <row r="6">
      <c r="A6" s="4" t="inlineStr">
        <is>
          <t>华南</t>
        </is>
      </c>
      <c r="B6" s="18" t="n">
        <v>8000</v>
      </c>
      <c r="C6" s="18" t="n">
        <v>8000</v>
      </c>
      <c r="D6" s="18" t="n">
        <v>17000</v>
      </c>
      <c r="E6" s="18" t="n">
        <v>114000</v>
      </c>
      <c r="F6" s="18" t="n">
        <v>127000</v>
      </c>
      <c r="G6" s="18" t="n">
        <v>49000</v>
      </c>
      <c r="H6" s="18" t="n">
        <v>43000</v>
      </c>
      <c r="I6" s="18" t="n">
        <v>46000</v>
      </c>
      <c r="J6" s="12">
        <f>SUM(B6:I6)</f>
        <v/>
      </c>
    </row>
    <row r="7">
      <c r="A7" s="8" t="inlineStr">
        <is>
          <t>西南</t>
        </is>
      </c>
      <c r="B7" s="19" t="n">
        <v>39000</v>
      </c>
      <c r="C7" s="19" t="n">
        <v>25000</v>
      </c>
      <c r="D7" s="19" t="n">
        <v>46000</v>
      </c>
      <c r="E7" s="19" t="n">
        <v>57000</v>
      </c>
      <c r="F7" s="19" t="n">
        <v>24000</v>
      </c>
      <c r="G7" s="19" t="n">
        <v>46000</v>
      </c>
      <c r="H7" s="19" t="n">
        <v>79000</v>
      </c>
      <c r="I7" s="19" t="n">
        <v>60000</v>
      </c>
      <c r="J7" s="13">
        <f>SUM(B7:I7)</f>
        <v/>
      </c>
    </row>
    <row r="8">
      <c r="A8" s="4" t="inlineStr">
        <is>
          <t>华中</t>
        </is>
      </c>
      <c r="B8" s="18" t="n">
        <v>50000</v>
      </c>
      <c r="C8" s="18" t="n">
        <v>43000</v>
      </c>
      <c r="D8" s="18" t="n">
        <v>51000</v>
      </c>
      <c r="E8" s="18" t="n">
        <v>27000</v>
      </c>
      <c r="F8" s="18" t="n">
        <v>94000</v>
      </c>
      <c r="G8" s="18" t="n">
        <v>58000</v>
      </c>
      <c r="H8" s="18" t="n">
        <v>26000</v>
      </c>
      <c r="I8" s="18" t="n">
        <v>84000</v>
      </c>
      <c r="J8" s="12">
        <f>SUM(B8:I8)</f>
        <v/>
      </c>
    </row>
    <row r="9">
      <c r="A9" s="20" t="inlineStr">
        <is>
          <t>总计</t>
        </is>
      </c>
      <c r="B9" s="21">
        <f>SUM(B4:B8)</f>
        <v/>
      </c>
      <c r="C9" s="21">
        <f>SUM(C4:C8)</f>
        <v/>
      </c>
      <c r="D9" s="21">
        <f>SUM(D4:D8)</f>
        <v/>
      </c>
      <c r="E9" s="21">
        <f>SUM(E4:E8)</f>
        <v/>
      </c>
      <c r="F9" s="21">
        <f>SUM(F4:F8)</f>
        <v/>
      </c>
      <c r="G9" s="21">
        <f>SUM(G4:G8)</f>
        <v/>
      </c>
      <c r="H9" s="21">
        <f>SUM(H4:H8)</f>
        <v/>
      </c>
      <c r="I9" s="21">
        <f>SUM(I4:I8)</f>
        <v/>
      </c>
      <c r="J9" s="21">
        <f>SUM(J4:J8)</f>
        <v/>
      </c>
    </row>
  </sheetData>
  <autoFilter ref="A3:J8"/>
  <mergeCells count="2">
    <mergeCell ref="A1:J1"/>
    <mergeCell ref="A2:J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0" customWidth="1" min="3" max="3"/>
    <col width="18" customWidth="1" min="4" max="4"/>
  </cols>
  <sheetData>
    <row r="1" ht="30" customHeight="1">
      <c r="A1" s="1" t="inlineStr">
        <is>
          <t>Excel 面试实操模拟 · 数据分析岗</t>
        </is>
      </c>
    </row>
    <row r="2">
      <c r="A2" s="2" t="inlineStr">
        <is>
          <t>使用方法：①右键「订单表_原始」→移动或复制→建立副本，重命名为「订单表_清洗」，所有操作在副本上进行；②按模块顺序完成（模块一不清洗，后面全乱）；③建议总限时150分钟；④做完再看「参考答案」。</t>
        </is>
      </c>
    </row>
    <row r="3" ht="24" customHeight="1">
      <c r="A3" s="3" t="inlineStr">
        <is>
          <t>编号</t>
        </is>
      </c>
      <c r="B3" s="3" t="inlineStr">
        <is>
          <t>难度</t>
        </is>
      </c>
      <c r="C3" s="3" t="inlineStr">
        <is>
          <t>题目</t>
        </is>
      </c>
      <c r="D3" s="3" t="inlineStr">
        <is>
          <t>考察点</t>
        </is>
      </c>
    </row>
    <row r="4" ht="22" customHeight="1">
      <c r="A4" s="22" t="inlineStr">
        <is>
          <t>模块一 · 数据清洗（在「订单表_清洗」副本上完成，8题）</t>
        </is>
      </c>
      <c r="B4" s="23" t="n"/>
      <c r="C4" s="23" t="n"/>
      <c r="D4" s="23" t="n"/>
    </row>
    <row r="5">
      <c r="A5" s="24" t="inlineStr">
        <is>
          <t>T01</t>
        </is>
      </c>
      <c r="B5" s="25" t="inlineStr">
        <is>
          <t>★★</t>
        </is>
      </c>
      <c r="C5" s="26" t="inlineStr">
        <is>
          <t>找出完全重复的记录并删除。思考：应以哪些列作为判断重复的依据？</t>
        </is>
      </c>
      <c r="D5" s="27" t="inlineStr">
        <is>
          <t>删除重复值、业务主键</t>
        </is>
      </c>
    </row>
    <row r="6">
      <c r="A6" s="28" t="inlineStr">
        <is>
          <t>T02</t>
        </is>
      </c>
      <c r="B6" s="29" t="inlineStr">
        <is>
          <t>★★</t>
        </is>
      </c>
      <c r="C6" s="30" t="inlineStr">
        <is>
          <t>订单编号重复但内容不同的记录有几组？应如何处理？</t>
        </is>
      </c>
      <c r="D6" s="31" t="inlineStr">
        <is>
          <t>COUNTIF、业务判断</t>
        </is>
      </c>
    </row>
    <row r="7">
      <c r="A7" s="24" t="inlineStr">
        <is>
          <t>T03</t>
        </is>
      </c>
      <c r="B7" s="25" t="inlineStr">
        <is>
          <t>★★★</t>
        </is>
      </c>
      <c r="C7" s="26" t="inlineStr">
        <is>
          <t>「下单日期」列存在多少个文本型日期？全部转换为标准日期格式。</t>
        </is>
      </c>
      <c r="D7" s="27" t="inlineStr">
        <is>
          <t>分列、ISNUMBER</t>
        </is>
      </c>
    </row>
    <row r="8">
      <c r="A8" s="28" t="inlineStr">
        <is>
          <t>T04</t>
        </is>
      </c>
      <c r="B8" s="29" t="inlineStr">
        <is>
          <t>★★★</t>
        </is>
      </c>
      <c r="C8" s="30" t="inlineStr">
        <is>
          <t>「区域」列存在“华东区”“ 华东”（首尾空格）等脏数据，统一为标准五区域，并对比清洗前后各区域订单数。</t>
        </is>
      </c>
      <c r="D8" s="31" t="inlineStr">
        <is>
          <t>TRIM、SUBSTITUTE</t>
        </is>
      </c>
    </row>
    <row r="9">
      <c r="A9" s="24" t="inlineStr">
        <is>
          <t>T05</t>
        </is>
      </c>
      <c r="B9" s="25" t="inlineStr">
        <is>
          <t>★★★</t>
        </is>
      </c>
      <c r="C9" s="26" t="inlineStr">
        <is>
          <t>「数量」列既有文本型数字又有空值：文本转数值；空值如何处理？说明理由。</t>
        </is>
      </c>
      <c r="D9" s="27" t="inlineStr">
        <is>
          <t>缺失值策略</t>
        </is>
      </c>
    </row>
    <row r="10">
      <c r="A10" s="28" t="inlineStr">
        <is>
          <t>T06</t>
        </is>
      </c>
      <c r="B10" s="29" t="inlineStr">
        <is>
          <t>★★★</t>
        </is>
      </c>
      <c r="C10" s="30" t="inlineStr">
        <is>
          <t>「金额」列部分为“¥1,234.00”格式的文本，提取为纯数值。</t>
        </is>
      </c>
      <c r="D10" s="31" t="inlineStr">
        <is>
          <t>SUBSTITUTE、VALUE</t>
        </is>
      </c>
    </row>
    <row r="11">
      <c r="A11" s="24" t="inlineStr">
        <is>
          <t>T07</t>
        </is>
      </c>
      <c r="B11" s="25" t="inlineStr">
        <is>
          <t>★★★</t>
        </is>
      </c>
      <c r="C11" s="26" t="inlineStr">
        <is>
          <t>校验「金额 = 单价 × 数量」，找出不一致的行并修正。</t>
        </is>
      </c>
      <c r="D11" s="27" t="inlineStr">
        <is>
          <t>辅助列、ROUND</t>
        </is>
      </c>
    </row>
    <row r="12">
      <c r="A12" s="28" t="inlineStr">
        <is>
          <t>T08</t>
        </is>
      </c>
      <c r="B12" s="29" t="inlineStr">
        <is>
          <t>★★★★</t>
        </is>
      </c>
      <c r="C12" s="30" t="inlineStr">
        <is>
          <t>找出「客户ID」与「客户名称」不匹配的行，说明应以哪个字段为准修正。</t>
        </is>
      </c>
      <c r="D12" s="31" t="inlineStr">
        <is>
          <t>VLOOKUP 比对</t>
        </is>
      </c>
    </row>
    <row r="13" ht="22" customHeight="1">
      <c r="A13" s="22" t="inlineStr">
        <is>
          <t>模块二 · 查找引用（7题）</t>
        </is>
      </c>
      <c r="B13" s="23" t="n"/>
      <c r="C13" s="23" t="n"/>
      <c r="D13" s="23" t="n"/>
    </row>
    <row r="14">
      <c r="A14" s="24" t="inlineStr">
        <is>
          <t>T09</t>
        </is>
      </c>
      <c r="B14" s="25" t="inlineStr">
        <is>
          <t>★★</t>
        </is>
      </c>
      <c r="C14" s="26" t="inlineStr">
        <is>
          <t>用 VLOOKUP 为订单表匹配客户等级（精确匹配），下拉填充时要注意什么？</t>
        </is>
      </c>
      <c r="D14" s="27" t="inlineStr">
        <is>
          <t>VLOOKUP、绝对引用</t>
        </is>
      </c>
    </row>
    <row r="15">
      <c r="A15" s="28" t="inlineStr">
        <is>
          <t>T10</t>
        </is>
      </c>
      <c r="B15" s="29" t="inlineStr">
        <is>
          <t>★★★</t>
        </is>
      </c>
      <c r="C15" s="30" t="inlineStr">
        <is>
          <t>根据「数量」从折扣阶梯表匹配折扣率，为什么必须用近似匹配(TRUE)且不会错配？</t>
        </is>
      </c>
      <c r="D15" s="31" t="inlineStr">
        <is>
          <t>近似匹配原理</t>
        </is>
      </c>
    </row>
    <row r="16">
      <c r="A16" s="24" t="inlineStr">
        <is>
          <t>T11</t>
        </is>
      </c>
      <c r="B16" s="25" t="inlineStr">
        <is>
          <t>★★★</t>
        </is>
      </c>
      <c r="C16" s="26" t="inlineStr">
        <is>
          <t>用 XLOOKUP 或 INDEX+MATCH 从「客户名称」反查「客户ID」。VLOOKUP 为什么做不到？</t>
        </is>
      </c>
      <c r="D16" s="27" t="inlineStr">
        <is>
          <t>反向查找</t>
        </is>
      </c>
    </row>
    <row r="17">
      <c r="A17" s="28" t="inlineStr">
        <is>
          <t>T12</t>
        </is>
      </c>
      <c r="B17" s="29" t="inlineStr">
        <is>
          <t>★★★★</t>
        </is>
      </c>
      <c r="C17" s="30" t="inlineStr">
        <is>
          <t>查找“华东区域、A等级客户”的第一笔订单金额（多条件查找，至少一种方法）。</t>
        </is>
      </c>
      <c r="D17" s="31" t="inlineStr">
        <is>
          <t>多条件查找</t>
        </is>
      </c>
    </row>
    <row r="18">
      <c r="A18" s="24" t="inlineStr">
        <is>
          <t>T13</t>
        </is>
      </c>
      <c r="B18" s="25" t="inlineStr">
        <is>
          <t>★★</t>
        </is>
      </c>
      <c r="C18" s="26" t="inlineStr">
        <is>
          <t>用 IFERROR 包裹查找公式，查不到时显示“待补充”。</t>
        </is>
      </c>
      <c r="D18" s="27" t="inlineStr">
        <is>
          <t>容错处理</t>
        </is>
      </c>
    </row>
    <row r="19">
      <c r="A19" s="28" t="inlineStr">
        <is>
          <t>T14</t>
        </is>
      </c>
      <c r="B19" s="29" t="inlineStr">
        <is>
          <t>★★</t>
        </is>
      </c>
      <c r="C19" s="30" t="inlineStr">
        <is>
          <t>订单编号格式为 DD-20260315-0042，用文本函数提取日期和流水号。</t>
        </is>
      </c>
      <c r="D19" s="31" t="inlineStr">
        <is>
          <t>MID、FIND、RIGHT</t>
        </is>
      </c>
    </row>
    <row r="20">
      <c r="A20" s="24" t="inlineStr">
        <is>
          <t>T15</t>
        </is>
      </c>
      <c r="B20" s="25" t="inlineStr">
        <is>
          <t>★★★★</t>
        </is>
      </c>
      <c r="C20" s="26" t="inlineStr">
        <is>
          <t>计算每笔订单应收金额 = 金额 × 折扣率（跨表引用+近似匹配，注意空数量行）。</t>
        </is>
      </c>
      <c r="D20" s="27" t="inlineStr">
        <is>
          <t>综合查找</t>
        </is>
      </c>
    </row>
    <row r="21" ht="22" customHeight="1">
      <c r="A21" s="22" t="inlineStr">
        <is>
          <t>模块三 · 统计计算（6题）</t>
        </is>
      </c>
      <c r="B21" s="23" t="n"/>
      <c r="C21" s="23" t="n"/>
      <c r="D21" s="23" t="n"/>
    </row>
    <row r="22">
      <c r="A22" s="24" t="inlineStr">
        <is>
          <t>T16</t>
        </is>
      </c>
      <c r="B22" s="25" t="inlineStr">
        <is>
          <t>★★</t>
        </is>
      </c>
      <c r="C22" s="26" t="inlineStr">
        <is>
          <t>华东区域 2026年Q2「已完成」订单的总金额是多少？</t>
        </is>
      </c>
      <c r="D22" s="27" t="inlineStr">
        <is>
          <t>SUMIFS 多条件</t>
        </is>
      </c>
    </row>
    <row r="23">
      <c r="A23" s="28" t="inlineStr">
        <is>
          <t>T17</t>
        </is>
      </c>
      <c r="B23" s="29" t="inlineStr">
        <is>
          <t>★★</t>
        </is>
      </c>
      <c r="C23" s="30" t="inlineStr">
        <is>
          <t>统计各订单状态的笔数与金额占比。</t>
        </is>
      </c>
      <c r="D23" s="31" t="inlineStr">
        <is>
          <t>COUNTIF、SUMIF</t>
        </is>
      </c>
    </row>
    <row r="24">
      <c r="A24" s="24" t="inlineStr">
        <is>
          <t>T18</t>
        </is>
      </c>
      <c r="B24" s="25" t="inlineStr">
        <is>
          <t>★★★</t>
        </is>
      </c>
      <c r="C24" s="26" t="inlineStr">
        <is>
          <t>计算各销售员「排除已取消订单」后的平均单笔金额。</t>
        </is>
      </c>
      <c r="D24" s="27" t="inlineStr">
        <is>
          <t>AVERAGEIFS</t>
        </is>
      </c>
    </row>
    <row r="25">
      <c r="A25" s="28" t="inlineStr">
        <is>
          <t>T19</t>
        </is>
      </c>
      <c r="B25" s="29" t="inlineStr">
        <is>
          <t>★★★</t>
        </is>
      </c>
      <c r="C25" s="30" t="inlineStr">
        <is>
          <t>找出金额 Top5 订单及对应客户名称（注意并列金额）。</t>
        </is>
      </c>
      <c r="D25" s="31" t="inlineStr">
        <is>
          <t>LARGE、INDEX+MATCH</t>
        </is>
      </c>
    </row>
    <row r="26">
      <c r="A26" s="24" t="inlineStr">
        <is>
          <t>T20</t>
        </is>
      </c>
      <c r="B26" s="25" t="inlineStr">
        <is>
          <t>★★★</t>
        </is>
      </c>
      <c r="C26" s="26" t="inlineStr">
        <is>
          <t>计算各区域目标完成率，条件格式将未达标(&lt;100%)标红。思考：已取消订单是否计入实际？说明口径。</t>
        </is>
      </c>
      <c r="D26" s="27" t="inlineStr">
        <is>
          <t>跨表汇总、条件格式</t>
        </is>
      </c>
    </row>
    <row r="27">
      <c r="A27" s="28" t="inlineStr">
        <is>
          <t>T21</t>
        </is>
      </c>
      <c r="B27" s="29" t="inlineStr">
        <is>
          <t>★★★★</t>
        </is>
      </c>
      <c r="C27" s="30" t="inlineStr">
        <is>
          <t>计算各订单毛利率 =（应收金额 − 成本×数量）÷ 应收金额（成本需先匹配）。</t>
        </is>
      </c>
      <c r="D27" s="31" t="inlineStr">
        <is>
          <t>多函数嵌套</t>
        </is>
      </c>
    </row>
    <row r="28" ht="22" customHeight="1">
      <c r="A28" s="22" t="inlineStr">
        <is>
          <t>模块四 · 透视表与图表（4题）</t>
        </is>
      </c>
      <c r="B28" s="23" t="n"/>
      <c r="C28" s="23" t="n"/>
      <c r="D28" s="23" t="n"/>
    </row>
    <row r="29">
      <c r="A29" s="24" t="inlineStr">
        <is>
          <t>T22</t>
        </is>
      </c>
      <c r="B29" s="25" t="inlineStr">
        <is>
          <t>★★</t>
        </is>
      </c>
      <c r="C29" s="26" t="inlineStr">
        <is>
          <t>制作「区域 × 月份」金额透视表，值显示方式改为“占总计的百分比”。</t>
        </is>
      </c>
      <c r="D29" s="27" t="inlineStr">
        <is>
          <t>透视表布局</t>
        </is>
      </c>
    </row>
    <row r="30">
      <c r="A30" s="28" t="inlineStr">
        <is>
          <t>T23</t>
        </is>
      </c>
      <c r="B30" s="29" t="inlineStr">
        <is>
          <t>★★★</t>
        </is>
      </c>
      <c r="C30" s="30" t="inlineStr">
        <is>
          <t>制作「客户等级 × 产品类别」金额透视，并添加“毛利率”计算字段。</t>
        </is>
      </c>
      <c r="D30" s="31" t="inlineStr">
        <is>
          <t>计算字段</t>
        </is>
      </c>
    </row>
    <row r="31">
      <c r="A31" s="24" t="inlineStr">
        <is>
          <t>T24</t>
        </is>
      </c>
      <c r="B31" s="25" t="inlineStr">
        <is>
          <t>★★★</t>
        </is>
      </c>
      <c r="C31" s="26" t="inlineStr">
        <is>
          <t>制作月度金额柱形图 + 环比增长率折线图（折线放次坐标轴）。</t>
        </is>
      </c>
      <c r="D31" s="27" t="inlineStr">
        <is>
          <t>组合图表</t>
        </is>
      </c>
    </row>
    <row r="32">
      <c r="A32" s="28" t="inlineStr">
        <is>
          <t>T25</t>
        </is>
      </c>
      <c r="B32" s="29" t="inlineStr">
        <is>
          <t>★★</t>
        </is>
      </c>
      <c r="C32" s="30" t="inlineStr">
        <is>
          <t>制作各区域“目标 vs 实际”对比图。</t>
        </is>
      </c>
      <c r="D32" s="31" t="inlineStr">
        <is>
          <t>图表选型</t>
        </is>
      </c>
    </row>
    <row r="33" ht="22" customHeight="1">
      <c r="A33" s="22" t="inlineStr">
        <is>
          <t>模块五 · 综合问答（口述题，3题）</t>
        </is>
      </c>
      <c r="B33" s="23" t="n"/>
      <c r="C33" s="23" t="n"/>
      <c r="D33" s="23" t="n"/>
    </row>
    <row r="34">
      <c r="A34" s="24" t="inlineStr">
        <is>
          <t>T26</t>
        </is>
      </c>
      <c r="B34" s="25" t="inlineStr">
        <is>
          <t>★★★</t>
        </is>
      </c>
      <c r="C34" s="26" t="inlineStr">
        <is>
          <t>一份10万行的销售数据，如何快速定位异常值？至少3种方法。</t>
        </is>
      </c>
      <c r="D34" s="27" t="inlineStr">
        <is>
          <t>描述统计、Z-score</t>
        </is>
      </c>
    </row>
    <row r="35">
      <c r="A35" s="28" t="inlineStr">
        <is>
          <t>T27</t>
        </is>
      </c>
      <c r="B35" s="29" t="inlineStr">
        <is>
          <t>★★★</t>
        </is>
      </c>
      <c r="C35" s="30" t="inlineStr">
        <is>
          <t>VLOOKUP 和 INDEX+MATCH 的区别？哪些场景必须用后者？</t>
        </is>
      </c>
      <c r="D35" s="31" t="inlineStr">
        <is>
          <t>函数原理</t>
        </is>
      </c>
    </row>
    <row r="36">
      <c r="A36" s="24" t="inlineStr">
        <is>
          <t>T28</t>
        </is>
      </c>
      <c r="B36" s="25" t="inlineStr">
        <is>
          <t>★★★★</t>
        </is>
      </c>
      <c r="C36" s="26" t="inlineStr">
        <is>
          <t>搭建一个每周更新的销售监控看板，你会放哪些指标？如何让数据半自动更新？</t>
        </is>
      </c>
      <c r="D36" s="27" t="inlineStr">
        <is>
          <t>体系化思维</t>
        </is>
      </c>
    </row>
  </sheetData>
  <mergeCells count="7">
    <mergeCell ref="A1:D1"/>
    <mergeCell ref="A4:D4"/>
    <mergeCell ref="A21:D21"/>
    <mergeCell ref="A2:D2"/>
    <mergeCell ref="A33:D33"/>
    <mergeCell ref="A28:D28"/>
    <mergeCell ref="A13:D1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5" customWidth="1" min="2" max="2"/>
  </cols>
  <sheetData>
    <row r="1" ht="30" customHeight="1">
      <c r="A1" s="1" t="inlineStr">
        <is>
          <t>参考答案 · 要点速查</t>
        </is>
      </c>
    </row>
    <row r="2">
      <c r="A2" s="2" t="inlineStr">
        <is>
          <t>先自己做，再对答案。公式中的区域引用（如金额列、区域列）请替换为清洗表的 actual 区域；行号以自己表格为准。</t>
        </is>
      </c>
    </row>
    <row r="3" ht="24" customHeight="1">
      <c r="A3" s="3" t="inlineStr">
        <is>
          <t>编号</t>
        </is>
      </c>
      <c r="B3" s="3" t="inlineStr">
        <is>
          <t>参考答案要点</t>
        </is>
      </c>
    </row>
    <row r="4" ht="22" customHeight="1">
      <c r="A4" s="22" t="inlineStr">
        <is>
          <t>模块一 · 数据清洗（在「订单表_清洗」副本上完成，8题）</t>
        </is>
      </c>
      <c r="B4" s="23" t="n"/>
    </row>
    <row r="5">
      <c r="A5" s="24" t="inlineStr">
        <is>
          <t>T01</t>
        </is>
      </c>
      <c r="B5" s="27" t="inlineStr">
        <is>
          <t>数据→删除重复值→勾选全部12列（完全重复共6行）。判断依据应为业务主键「订单编号+产品编码」，而非全列相同。</t>
        </is>
      </c>
    </row>
    <row r="6">
      <c r="A6" s="28" t="inlineStr">
        <is>
          <t>T02</t>
        </is>
      </c>
      <c r="B6" s="31" t="inlineStr">
        <is>
          <t>先删完全重复，再 COUNTIF(订单编号列,编号)&gt;1 筛出重复：共2组同号但数量/金额不同，属同单修订，应与业务确认，一般保留下单时间最新一条。</t>
        </is>
      </c>
    </row>
    <row r="7">
      <c r="A7" s="24" t="inlineStr">
        <is>
          <t>T03</t>
        </is>
      </c>
      <c r="B7" s="27" t="inlineStr">
        <is>
          <t>共25个。识别：=ISNUMBER(单元格) 为FALSE，或看是否左对齐/带绿色三角。转换：选中列→数据→分列→第3步选“日期(YMD)”→完成，可一次性批量转换混排格式。备选：查找替换统一分隔符后 DATEVALUE。</t>
        </is>
      </c>
    </row>
    <row r="8">
      <c r="A8" s="28" t="inlineStr">
        <is>
          <t>T04</t>
        </is>
      </c>
      <c r="B8" s="31" t="inlineStr">
        <is>
          <t>TRIM 去首尾空格；SUBSTITUTE(区域,“区”,“”) 去后缀（标准区域名不含“区”，无误伤）；也可查找替换两轮。清洗后用 COUNTIF 逐区域对比订单数，差值即脏数据行数（含约36行区域脏数据）。</t>
        </is>
      </c>
    </row>
    <row r="9">
      <c r="A9" s="24" t="inlineStr">
        <is>
          <t>T05</t>
        </is>
      </c>
      <c r="B9" s="27" t="inlineStr">
        <is>
          <t>文本转数值：选中列→分列→完成（或选择性粘贴 ×1）。空值共6行：不能填0（会拉低均值、金额校验失真），建议标记“待核实”回溯原始单据；无法恢复时保留空，SUMIFS/AVERAGEIFS 会自动忽略。</t>
        </is>
      </c>
    </row>
    <row r="10">
      <c r="A10" s="28" t="inlineStr">
        <is>
          <t>T06</t>
        </is>
      </c>
      <c r="B10" s="31">
        <f>--SUBSTITUTE(SUBSTITUTE(金额单元格,“¥”,“”),“,”,“”)，双负号转数值；或分列→其他符号逐个剔除。共16行。</f>
        <v/>
      </c>
    </row>
    <row r="11">
      <c r="A11" s="24" t="inlineStr">
        <is>
          <t>T07</t>
        </is>
      </c>
      <c r="B11" s="27" t="inlineStr">
        <is>
          <t>辅助列 =ROUND(单价*数量,2)=金额 → FALSE 即异常，共4行，按 单价×数量 回写修正（属金额录入错误）。</t>
        </is>
      </c>
    </row>
    <row r="12">
      <c r="A12" s="28" t="inlineStr">
        <is>
          <t>T08</t>
        </is>
      </c>
      <c r="B12" s="31" t="inlineStr">
        <is>
          <t>辅助列 =VLOOKUP(客户ID,客户信息表!$A:$B,2,0)=客户名称 → FALSE 即不匹配，共2行。以客户ID为准（系统主键），VLOOKUP 回填正确名称。</t>
        </is>
      </c>
    </row>
    <row r="13" ht="22" customHeight="1">
      <c r="A13" s="22" t="inlineStr">
        <is>
          <t>模块二 · 查找引用（7题）</t>
        </is>
      </c>
      <c r="B13" s="23" t="n"/>
    </row>
    <row r="14">
      <c r="A14" s="24" t="inlineStr">
        <is>
          <t>T09</t>
        </is>
      </c>
      <c r="B14" s="27">
        <f>VLOOKUP(客户ID,客户信息表!$A:$E,5,0)（列号从A数到客户等级列）。注意查找区域用绝对引用 $A:$E，避免下拉时区域偏移。</f>
        <v/>
      </c>
    </row>
    <row r="15">
      <c r="A15" s="28" t="inlineStr">
        <is>
          <t>T10</t>
        </is>
      </c>
      <c r="B15" s="31">
        <f>VLOOKUP(数量,折扣阶梯!$A$2:$B$5,2,TRUE)。近似匹配返回“小于等于查找值的最大下限”所在行，阶梯表首列必须升序。数量100会匹配100档而非50档，故不会错配。</f>
        <v/>
      </c>
    </row>
    <row r="16">
      <c r="A16" s="24" t="inlineStr">
        <is>
          <t>T11</t>
        </is>
      </c>
      <c r="B16" s="27">
        <f>XLOOKUP(客户名称,客户信息表!$B:$B,客户信息表!$A:$A) 或 =INDEX(客户信息表!A:A,MATCH(客户名称,客户信息表!B:B,0))。VLOOKUP 只能从查找列向右取值，ID在名称左侧取不到（除非 IF({1,0},…) 重构数组）。</f>
        <v/>
      </c>
    </row>
    <row r="17">
      <c r="A17" s="28" t="inlineStr">
        <is>
          <t>T12</t>
        </is>
      </c>
      <c r="B17" s="31" t="inlineStr">
        <is>
          <t>法1：辅助列 =区域&amp;"|"&amp;等级 再 MATCH+INDEX；法2：数组 =INDEX(金额列,MATCH(1,(区域列="华东")*(等级列="A"),0))（旧版需 Ctrl+Shift+Enter）；法3：XLOOKUP(1,(区域="华东")*(等级="A"),金额列)。等级列需先用T09匹配出来。</t>
        </is>
      </c>
    </row>
    <row r="18">
      <c r="A18" s="24" t="inlineStr">
        <is>
          <t>T13</t>
        </is>
      </c>
      <c r="B18" s="27">
        <f>IFERROR(原查找公式,"待补充")，把整条查找公式放进第一个参数。</f>
        <v/>
      </c>
    </row>
    <row r="19">
      <c r="A19" s="28" t="inlineStr">
        <is>
          <t>T14</t>
        </is>
      </c>
      <c r="B19" s="31" t="inlineStr">
        <is>
          <t>日期：=--MID(编号,4,8) 后把单元格设为日期格式；流水号：=--RIGHT(编号,4) 或 =MID(编号,FIND("-",编号,8)+1,4)。</t>
        </is>
      </c>
    </row>
    <row r="20">
      <c r="A20" s="24" t="inlineStr">
        <is>
          <t>T15</t>
        </is>
      </c>
      <c r="B20" s="27">
        <f>ROUND(金额*IFERROR(VLOOKUP(数量,折扣阶梯!$A$2:$B$5,2,TRUE),1),2)。数量为空的行 VLOOKUP 会 #N/A：可视为无折扣乘1，或整行标记异常，口径需说明。</f>
        <v/>
      </c>
    </row>
    <row r="21" ht="22" customHeight="1">
      <c r="A21" s="22" t="inlineStr">
        <is>
          <t>模块三 · 统计计算（6题）</t>
        </is>
      </c>
      <c r="B21" s="23" t="n"/>
    </row>
    <row r="22">
      <c r="A22" s="24" t="inlineStr">
        <is>
          <t>T16</t>
        </is>
      </c>
      <c r="B22" s="27">
        <f>SUMIFS(金额列,区域列,"华东",状态列,"已完成",日期列,"&gt;=2026-4-1",日期列,"&lt;=2026-6-30")。前提：日期已清洗为真日期。</f>
        <v/>
      </c>
    </row>
    <row r="23">
      <c r="A23" s="28" t="inlineStr">
        <is>
          <t>T17</t>
        </is>
      </c>
      <c r="B23" s="31" t="inlineStr">
        <is>
          <t>笔数 =COUNTIF(状态列,状态)；金额 =SUMIF(状态列,状态,金额列)；占比 =该状态金额/SUM(金额列)。</t>
        </is>
      </c>
    </row>
    <row r="24">
      <c r="A24" s="24" t="inlineStr">
        <is>
          <t>T18</t>
        </is>
      </c>
      <c r="B24" s="27">
        <f>AVERAGEIFS(金额列,销售员列,姓名,状态列,"&lt;&gt;已取消")。"&lt;&gt;已取消" 是“不等于”条件的写法。</f>
        <v/>
      </c>
    </row>
    <row r="25">
      <c r="A25" s="28" t="inlineStr">
        <is>
          <t>T19</t>
        </is>
      </c>
      <c r="B25" s="31">
        <f>LARGE(金额列,k) 取第k大；客户 =INDEX(客户名称列,MATCH(LARGE(金额列,k),金额列,0))。并列金额时 MATCH 只命中第一条，进阶做法：辅助列 =金额+ROW()/1000000 破坏并列。</f>
        <v/>
      </c>
    </row>
    <row r="26">
      <c r="A26" s="24" t="inlineStr">
        <is>
          <t>T20</t>
        </is>
      </c>
      <c r="B26" s="27" t="inlineStr">
        <is>
          <t>实际 =SUMIF(区域列,区域,金额列)；完成率 =实际/目标（目标在「销售目标」表）。已取消订单建议不计入实际（口径自定但必须说明）。条件格式：选中完成率→新建规则→单元格值&lt;1→红色填充。按设定目标，部分区域未达标。</t>
        </is>
      </c>
    </row>
    <row r="27">
      <c r="A27" s="28" t="inlineStr">
        <is>
          <t>T21</t>
        </is>
      </c>
      <c r="B27" s="31" t="inlineStr">
        <is>
          <t>成本 =VLOOKUP(产品编码,产品信息表!$A:$F,5,0)；应收见T15；毛利率 =(应收−成本*数量)/应收。</t>
        </is>
      </c>
    </row>
    <row r="28" ht="22" customHeight="1">
      <c r="A28" s="22" t="inlineStr">
        <is>
          <t>模块四 · 透视表与图表（4题）</t>
        </is>
      </c>
      <c r="B28" s="23" t="n"/>
    </row>
    <row r="29">
      <c r="A29" s="24" t="inlineStr">
        <is>
          <t>T22</t>
        </is>
      </c>
      <c r="B29" s="27" t="inlineStr">
        <is>
          <t>行=区域，列=下单日期（拖入列区域后自动组合为月），值=金额求和；右键值区域→值显示方式→总计的百分比。</t>
        </is>
      </c>
    </row>
    <row r="30">
      <c r="A30" s="28" t="inlineStr">
        <is>
          <t>T23</t>
        </is>
      </c>
      <c r="B30" s="31" t="inlineStr">
        <is>
          <t>透视表→透视表分析→字段、项目和集→计算字段：名称“毛利率”，公式 =(金额−成本*数量)/金额。前提：明细已添加成本列。注意：计算字段是“先求和再相除”，与逐行毛利率再平均不同，面试常追问此差异。</t>
        </is>
      </c>
    </row>
    <row r="31">
      <c r="A31" s="24" t="inlineStr">
        <is>
          <t>T24</t>
        </is>
      </c>
      <c r="B31" s="27" t="inlineStr">
        <is>
          <t>先做月度汇总辅助区（金额、环比=(本月−上月)/上月）；插入柱形图选金额列，再选中环比系列→更改系列图表类型→折线图+勾选次坐标轴。</t>
        </is>
      </c>
    </row>
    <row r="32">
      <c r="A32" s="28" t="inlineStr">
        <is>
          <t>T25</t>
        </is>
      </c>
      <c r="B32" s="31" t="inlineStr">
        <is>
          <t>目标/实际两列→簇状柱形图；进阶：叠加达标率折线（次坐标轴）。</t>
        </is>
      </c>
    </row>
    <row r="33" ht="22" customHeight="1">
      <c r="A33" s="22" t="inlineStr">
        <is>
          <t>模块五 · 综合问答（口述题，3题）</t>
        </is>
      </c>
      <c r="B33" s="23" t="n"/>
    </row>
    <row r="34">
      <c r="A34" s="24" t="inlineStr">
        <is>
          <t>T26</t>
        </is>
      </c>
      <c r="B34" s="27" t="inlineStr">
        <is>
          <t>①数据分析工具库→描述统计，看均值/极值/标准差；②条件格式新建规则 =ABS((值−AVERAGE(区域))/STDEV(区域))&gt;3 标记离群点；③PERCENTILE.INC 取1%/99%分位截尾；④按客户/产品透视看异常集中点；⑤降序排序看首尾极值。</t>
        </is>
      </c>
    </row>
    <row r="35">
      <c r="A35" s="28" t="inlineStr">
        <is>
          <t>T27</t>
        </is>
      </c>
      <c r="B35" s="31" t="inlineStr">
        <is>
          <t>VLOOKUP：只能向右查找、返回列号硬编码（中间插列即错位）、大表性能差。INDEX+MATCH：任意方向、列引用稳定、支持多条件、效率高。反向查找、双条件、动态列号场景必须 INDEX+MATCH（或 XLOOKUP）。</t>
        </is>
      </c>
    </row>
    <row r="36">
      <c r="A36" s="24" t="inlineStr">
        <is>
          <t>T28</t>
        </is>
      </c>
      <c r="B36" s="27" t="inlineStr">
        <is>
          <t>指标：销售额及达成率、订单量、客单价、Top客户/产品、退款与异常提醒、环比趋势。半自动：明细转“表格”(Ctrl+T)→透视表引用表名而非区域→数据更新后一键全部刷新；进阶 Power Query 定时抓取+清洗+加载。</t>
        </is>
      </c>
    </row>
  </sheetData>
  <mergeCells count="7">
    <mergeCell ref="A4:B4"/>
    <mergeCell ref="A21:B21"/>
    <mergeCell ref="A2:B2"/>
    <mergeCell ref="A33:B33"/>
    <mergeCell ref="A28:B28"/>
    <mergeCell ref="A13:B13"/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2026-08-21T03:09:17Z</dcterms:created>
  <dcterms:modified xmlns:dcterms="http://purl.org/dc/terms/" xmlns:xsi="http://www.w3.org/2001/XMLSchema-instance" xsi:type="dcterms:W3CDTF">2026-08-21T03:09:17Z</dcterms:modified>
</cp:coreProperties>
</file>