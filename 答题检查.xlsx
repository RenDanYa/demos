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odisgirl\Desktop\"/>
    </mc:Choice>
  </mc:AlternateContent>
  <xr:revisionPtr revIDLastSave="0" documentId="8_{2793DABD-9D01-4038-85DF-4D975345E05D}" xr6:coauthVersionLast="47" xr6:coauthVersionMax="47" xr10:uidLastSave="{00000000-0000-0000-0000-000000000000}"/>
  <bookViews>
    <workbookView xWindow="-110" yWindow="-110" windowWidth="25820" windowHeight="15500" tabRatio="985" activeTab="3" xr2:uid="{F8F756F2-7065-4DC7-BC04-A4601176B8FB}"/>
  </bookViews>
  <sheets>
    <sheet name="Sheet1" sheetId="8" r:id="rId1"/>
    <sheet name="Sheet3" sheetId="10" r:id="rId2"/>
    <sheet name="统计计算" sheetId="11" r:id="rId3"/>
    <sheet name="Sheet5" sheetId="13" r:id="rId4"/>
    <sheet name="订单表_原始" sheetId="1" r:id="rId5"/>
    <sheet name="客户信息表" sheetId="2" r:id="rId6"/>
    <sheet name="产品信息表" sheetId="3" r:id="rId7"/>
    <sheet name="折扣阶梯" sheetId="4" r:id="rId8"/>
    <sheet name="详细信息1" sheetId="12" r:id="rId9"/>
    <sheet name="销售目标" sheetId="5" r:id="rId10"/>
  </sheets>
  <definedNames>
    <definedName name="_xlnm._FilterDatabase" localSheetId="6" hidden="1">产品信息表!$A$3:$F$15</definedName>
    <definedName name="_xlnm._FilterDatabase" localSheetId="4" hidden="1">订单表_原始!$A$1:$AH$404</definedName>
    <definedName name="_xlnm._FilterDatabase" localSheetId="5" hidden="1">客户信息表!$A$3:$H$23</definedName>
    <definedName name="_xlnm._FilterDatabase" localSheetId="9" hidden="1">销售目标!$A$3:$J$8</definedName>
    <definedName name="_xlnm._FilterDatabase" localSheetId="7" hidden="1">折扣阶梯!$A$3:$C$7</definedName>
    <definedName name="切片器_订单状态">#N/A</definedName>
  </definedNames>
  <calcPr calcId="191029"/>
  <pivotCaches>
    <pivotCache cacheId="28" r:id="rId11"/>
    <pivotCache cacheId="61" r:id="rId12"/>
    <pivotCache cacheId="53" r:id="rId13"/>
    <pivotCache cacheId="83" r:id="rId14"/>
  </pivotCaches>
  <fileRecoveryPr repairLoad="1"/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5" l="1"/>
  <c r="B38" i="5"/>
  <c r="B39" i="5"/>
  <c r="B40" i="5"/>
  <c r="C37" i="5"/>
  <c r="C38" i="5"/>
  <c r="C39" i="5"/>
  <c r="C40" i="5"/>
  <c r="C36" i="5"/>
  <c r="B36" i="5"/>
  <c r="B28" i="5"/>
  <c r="B27" i="5"/>
  <c r="C27" i="5"/>
  <c r="D27" i="5"/>
  <c r="E27" i="5"/>
  <c r="F27" i="5"/>
  <c r="G27" i="5"/>
  <c r="H27" i="5"/>
  <c r="I27" i="5"/>
  <c r="J27" i="5"/>
  <c r="C28" i="5"/>
  <c r="D28" i="5"/>
  <c r="E28" i="5"/>
  <c r="F28" i="5"/>
  <c r="G28" i="5"/>
  <c r="H28" i="5"/>
  <c r="I28" i="5"/>
  <c r="J28" i="5"/>
  <c r="B29" i="5"/>
  <c r="C29" i="5"/>
  <c r="D29" i="5"/>
  <c r="E29" i="5"/>
  <c r="F29" i="5"/>
  <c r="G29" i="5"/>
  <c r="H29" i="5"/>
  <c r="I29" i="5"/>
  <c r="J29" i="5"/>
  <c r="B30" i="5"/>
  <c r="C30" i="5"/>
  <c r="D30" i="5"/>
  <c r="E30" i="5"/>
  <c r="F30" i="5"/>
  <c r="G30" i="5"/>
  <c r="H30" i="5"/>
  <c r="I30" i="5"/>
  <c r="J30" i="5"/>
  <c r="B31" i="5"/>
  <c r="C31" i="5"/>
  <c r="D31" i="5"/>
  <c r="E31" i="5"/>
  <c r="F31" i="5"/>
  <c r="G31" i="5"/>
  <c r="H31" i="5"/>
  <c r="I31" i="5"/>
  <c r="J31" i="5"/>
  <c r="C26" i="5"/>
  <c r="D26" i="5"/>
  <c r="E26" i="5"/>
  <c r="F26" i="5"/>
  <c r="G26" i="5"/>
  <c r="H26" i="5"/>
  <c r="I26" i="5"/>
  <c r="J26" i="5"/>
  <c r="B26" i="5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3" i="1"/>
  <c r="S3" i="1"/>
  <c r="T3" i="1" s="1"/>
  <c r="S4" i="1"/>
  <c r="T4" i="1" s="1"/>
  <c r="S5" i="1"/>
  <c r="V5" i="1" s="1"/>
  <c r="S6" i="1"/>
  <c r="T6" i="1" s="1"/>
  <c r="S7" i="1"/>
  <c r="T7" i="1" s="1"/>
  <c r="S8" i="1"/>
  <c r="T8" i="1" s="1"/>
  <c r="S9" i="1"/>
  <c r="T9" i="1" s="1"/>
  <c r="S10" i="1"/>
  <c r="V10" i="1" s="1"/>
  <c r="S11" i="1"/>
  <c r="T11" i="1" s="1"/>
  <c r="S12" i="1"/>
  <c r="T12" i="1" s="1"/>
  <c r="S13" i="1"/>
  <c r="V13" i="1" s="1"/>
  <c r="S14" i="1"/>
  <c r="V14" i="1" s="1"/>
  <c r="S15" i="1"/>
  <c r="T15" i="1" s="1"/>
  <c r="S16" i="1"/>
  <c r="V16" i="1" s="1"/>
  <c r="S17" i="1"/>
  <c r="T17" i="1" s="1"/>
  <c r="S18" i="1"/>
  <c r="V18" i="1" s="1"/>
  <c r="S19" i="1"/>
  <c r="T19" i="1" s="1"/>
  <c r="S20" i="1"/>
  <c r="T20" i="1" s="1"/>
  <c r="S21" i="1"/>
  <c r="V21" i="1" s="1"/>
  <c r="S22" i="1"/>
  <c r="V22" i="1" s="1"/>
  <c r="S23" i="1"/>
  <c r="T23" i="1" s="1"/>
  <c r="S24" i="1"/>
  <c r="T24" i="1" s="1"/>
  <c r="S25" i="1"/>
  <c r="T25" i="1" s="1"/>
  <c r="S26" i="1"/>
  <c r="V26" i="1" s="1"/>
  <c r="S27" i="1"/>
  <c r="T27" i="1" s="1"/>
  <c r="S28" i="1"/>
  <c r="T28" i="1" s="1"/>
  <c r="S29" i="1"/>
  <c r="V29" i="1" s="1"/>
  <c r="S30" i="1"/>
  <c r="V30" i="1" s="1"/>
  <c r="S31" i="1"/>
  <c r="T31" i="1" s="1"/>
  <c r="S32" i="1"/>
  <c r="T32" i="1" s="1"/>
  <c r="S33" i="1"/>
  <c r="V33" i="1" s="1"/>
  <c r="S34" i="1"/>
  <c r="V34" i="1" s="1"/>
  <c r="S35" i="1"/>
  <c r="T35" i="1" s="1"/>
  <c r="S36" i="1"/>
  <c r="T36" i="1" s="1"/>
  <c r="S37" i="1"/>
  <c r="V37" i="1" s="1"/>
  <c r="S38" i="1"/>
  <c r="V38" i="1" s="1"/>
  <c r="S39" i="1"/>
  <c r="V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V46" i="1" s="1"/>
  <c r="S47" i="1"/>
  <c r="T47" i="1" s="1"/>
  <c r="S48" i="1"/>
  <c r="T48" i="1" s="1"/>
  <c r="S49" i="1"/>
  <c r="T49" i="1" s="1"/>
  <c r="S50" i="1"/>
  <c r="V50" i="1" s="1"/>
  <c r="S51" i="1"/>
  <c r="T51" i="1" s="1"/>
  <c r="S52" i="1"/>
  <c r="T52" i="1" s="1"/>
  <c r="S53" i="1"/>
  <c r="T53" i="1" s="1"/>
  <c r="S54" i="1"/>
  <c r="V54" i="1" s="1"/>
  <c r="S55" i="1"/>
  <c r="V55" i="1" s="1"/>
  <c r="S56" i="1"/>
  <c r="T56" i="1" s="1"/>
  <c r="S57" i="1"/>
  <c r="T57" i="1" s="1"/>
  <c r="S58" i="1"/>
  <c r="V58" i="1" s="1"/>
  <c r="S59" i="1"/>
  <c r="T59" i="1" s="1"/>
  <c r="S60" i="1"/>
  <c r="T60" i="1" s="1"/>
  <c r="S61" i="1"/>
  <c r="T61" i="1" s="1"/>
  <c r="S62" i="1"/>
  <c r="V62" i="1" s="1"/>
  <c r="S63" i="1"/>
  <c r="T63" i="1" s="1"/>
  <c r="S64" i="1"/>
  <c r="T64" i="1" s="1"/>
  <c r="S65" i="1"/>
  <c r="V65" i="1" s="1"/>
  <c r="S66" i="1"/>
  <c r="V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V72" i="1" s="1"/>
  <c r="S73" i="1"/>
  <c r="T73" i="1" s="1"/>
  <c r="S74" i="1"/>
  <c r="V74" i="1" s="1"/>
  <c r="S75" i="1"/>
  <c r="T75" i="1" s="1"/>
  <c r="S76" i="1"/>
  <c r="T76" i="1" s="1"/>
  <c r="S77" i="1"/>
  <c r="V77" i="1" s="1"/>
  <c r="S78" i="1"/>
  <c r="V78" i="1" s="1"/>
  <c r="S79" i="1"/>
  <c r="T79" i="1" s="1"/>
  <c r="S80" i="1"/>
  <c r="V80" i="1" s="1"/>
  <c r="S81" i="1"/>
  <c r="V81" i="1" s="1"/>
  <c r="S82" i="1"/>
  <c r="V82" i="1" s="1"/>
  <c r="S83" i="1"/>
  <c r="T83" i="1" s="1"/>
  <c r="S84" i="1"/>
  <c r="T84" i="1" s="1"/>
  <c r="S85" i="1"/>
  <c r="T85" i="1" s="1"/>
  <c r="S86" i="1"/>
  <c r="T86" i="1" s="1"/>
  <c r="S87" i="1"/>
  <c r="V87" i="1" s="1"/>
  <c r="S88" i="1"/>
  <c r="T88" i="1" s="1"/>
  <c r="S89" i="1"/>
  <c r="T89" i="1" s="1"/>
  <c r="S90" i="1"/>
  <c r="V90" i="1" s="1"/>
  <c r="S91" i="1"/>
  <c r="T91" i="1" s="1"/>
  <c r="S92" i="1"/>
  <c r="T92" i="1" s="1"/>
  <c r="S93" i="1"/>
  <c r="V93" i="1" s="1"/>
  <c r="S94" i="1"/>
  <c r="V94" i="1" s="1"/>
  <c r="S95" i="1"/>
  <c r="T95" i="1" s="1"/>
  <c r="S96" i="1"/>
  <c r="T96" i="1" s="1"/>
  <c r="S97" i="1"/>
  <c r="T97" i="1" s="1"/>
  <c r="S98" i="1"/>
  <c r="V98" i="1" s="1"/>
  <c r="S99" i="1"/>
  <c r="T99" i="1" s="1"/>
  <c r="S100" i="1"/>
  <c r="T100" i="1" s="1"/>
  <c r="S101" i="1"/>
  <c r="T101" i="1" s="1"/>
  <c r="S102" i="1"/>
  <c r="T102" i="1" s="1"/>
  <c r="S103" i="1"/>
  <c r="V103" i="1" s="1"/>
  <c r="S104" i="1"/>
  <c r="T104" i="1" s="1"/>
  <c r="S105" i="1"/>
  <c r="T105" i="1" s="1"/>
  <c r="S106" i="1"/>
  <c r="V106" i="1" s="1"/>
  <c r="S107" i="1"/>
  <c r="T107" i="1" s="1"/>
  <c r="S108" i="1"/>
  <c r="T108" i="1" s="1"/>
  <c r="S109" i="1"/>
  <c r="V109" i="1" s="1"/>
  <c r="S110" i="1"/>
  <c r="V110" i="1" s="1"/>
  <c r="S111" i="1"/>
  <c r="T111" i="1" s="1"/>
  <c r="S112" i="1"/>
  <c r="T112" i="1" s="1"/>
  <c r="S113" i="1"/>
  <c r="V113" i="1" s="1"/>
  <c r="S114" i="1"/>
  <c r="V114" i="1" s="1"/>
  <c r="S115" i="1"/>
  <c r="T115" i="1" s="1"/>
  <c r="S116" i="1"/>
  <c r="V116" i="1" s="1"/>
  <c r="S117" i="1"/>
  <c r="T117" i="1" s="1"/>
  <c r="S118" i="1"/>
  <c r="V118" i="1" s="1"/>
  <c r="S119" i="1"/>
  <c r="T119" i="1" s="1"/>
  <c r="S120" i="1"/>
  <c r="V120" i="1" s="1"/>
  <c r="S121" i="1"/>
  <c r="T121" i="1" s="1"/>
  <c r="S122" i="1"/>
  <c r="V122" i="1" s="1"/>
  <c r="S123" i="1"/>
  <c r="T123" i="1" s="1"/>
  <c r="S124" i="1"/>
  <c r="T124" i="1" s="1"/>
  <c r="S125" i="1"/>
  <c r="T125" i="1" s="1"/>
  <c r="S126" i="1"/>
  <c r="V126" i="1" s="1"/>
  <c r="S127" i="1"/>
  <c r="T127" i="1" s="1"/>
  <c r="S128" i="1"/>
  <c r="T128" i="1" s="1"/>
  <c r="S129" i="1"/>
  <c r="V129" i="1" s="1"/>
  <c r="S130" i="1"/>
  <c r="V130" i="1" s="1"/>
  <c r="S131" i="1"/>
  <c r="V131" i="1" s="1"/>
  <c r="S132" i="1"/>
  <c r="T132" i="1" s="1"/>
  <c r="S133" i="1"/>
  <c r="T133" i="1" s="1"/>
  <c r="S134" i="1"/>
  <c r="V134" i="1" s="1"/>
  <c r="S135" i="1"/>
  <c r="T135" i="1" s="1"/>
  <c r="S136" i="1"/>
  <c r="T136" i="1" s="1"/>
  <c r="S137" i="1"/>
  <c r="T137" i="1" s="1"/>
  <c r="S138" i="1"/>
  <c r="V138" i="1" s="1"/>
  <c r="S139" i="1"/>
  <c r="T139" i="1" s="1"/>
  <c r="S140" i="1"/>
  <c r="T140" i="1" s="1"/>
  <c r="S141" i="1"/>
  <c r="V141" i="1" s="1"/>
  <c r="S142" i="1"/>
  <c r="V142" i="1" s="1"/>
  <c r="S143" i="1"/>
  <c r="T143" i="1" s="1"/>
  <c r="S144" i="1"/>
  <c r="T144" i="1" s="1"/>
  <c r="S145" i="1"/>
  <c r="T145" i="1" s="1"/>
  <c r="S146" i="1"/>
  <c r="V146" i="1" s="1"/>
  <c r="S147" i="1"/>
  <c r="T147" i="1" s="1"/>
  <c r="S148" i="1"/>
  <c r="V148" i="1" s="1"/>
  <c r="S149" i="1"/>
  <c r="T149" i="1" s="1"/>
  <c r="S150" i="1"/>
  <c r="T150" i="1" s="1"/>
  <c r="S151" i="1"/>
  <c r="V151" i="1" s="1"/>
  <c r="S152" i="1"/>
  <c r="V152" i="1" s="1"/>
  <c r="S153" i="1"/>
  <c r="T153" i="1" s="1"/>
  <c r="S154" i="1"/>
  <c r="T154" i="1" s="1"/>
  <c r="S155" i="1"/>
  <c r="T155" i="1" s="1"/>
  <c r="S156" i="1"/>
  <c r="T156" i="1" s="1"/>
  <c r="S157" i="1"/>
  <c r="V157" i="1" s="1"/>
  <c r="S158" i="1"/>
  <c r="V158" i="1" s="1"/>
  <c r="S159" i="1"/>
  <c r="T159" i="1" s="1"/>
  <c r="S160" i="1"/>
  <c r="V160" i="1" s="1"/>
  <c r="S161" i="1"/>
  <c r="V161" i="1" s="1"/>
  <c r="S162" i="1"/>
  <c r="V162" i="1" s="1"/>
  <c r="S163" i="1"/>
  <c r="T163" i="1" s="1"/>
  <c r="S164" i="1"/>
  <c r="V164" i="1" s="1"/>
  <c r="S165" i="1"/>
  <c r="V165" i="1" s="1"/>
  <c r="S166" i="1"/>
  <c r="T166" i="1" s="1"/>
  <c r="S167" i="1"/>
  <c r="T167" i="1" s="1"/>
  <c r="S168" i="1"/>
  <c r="V168" i="1" s="1"/>
  <c r="S169" i="1"/>
  <c r="T169" i="1" s="1"/>
  <c r="S170" i="1"/>
  <c r="T170" i="1" s="1"/>
  <c r="S171" i="1"/>
  <c r="T171" i="1" s="1"/>
  <c r="S172" i="1"/>
  <c r="T172" i="1" s="1"/>
  <c r="S173" i="1"/>
  <c r="V173" i="1" s="1"/>
  <c r="S174" i="1"/>
  <c r="V174" i="1" s="1"/>
  <c r="S175" i="1"/>
  <c r="T175" i="1" s="1"/>
  <c r="S176" i="1"/>
  <c r="V176" i="1" s="1"/>
  <c r="S177" i="1"/>
  <c r="T177" i="1" s="1"/>
  <c r="S178" i="1"/>
  <c r="V178" i="1" s="1"/>
  <c r="S179" i="1"/>
  <c r="V179" i="1" s="1"/>
  <c r="S180" i="1"/>
  <c r="T180" i="1" s="1"/>
  <c r="S181" i="1"/>
  <c r="V181" i="1" s="1"/>
  <c r="S182" i="1"/>
  <c r="T182" i="1" s="1"/>
  <c r="S183" i="1"/>
  <c r="V183" i="1" s="1"/>
  <c r="S184" i="1"/>
  <c r="T184" i="1" s="1"/>
  <c r="S185" i="1"/>
  <c r="T185" i="1" s="1"/>
  <c r="S186" i="1"/>
  <c r="V186" i="1" s="1"/>
  <c r="S187" i="1"/>
  <c r="T187" i="1" s="1"/>
  <c r="S188" i="1"/>
  <c r="T188" i="1" s="1"/>
  <c r="S189" i="1"/>
  <c r="V189" i="1" s="1"/>
  <c r="S190" i="1"/>
  <c r="V190" i="1" s="1"/>
  <c r="S191" i="1"/>
  <c r="T191" i="1" s="1"/>
  <c r="S192" i="1"/>
  <c r="T192" i="1" s="1"/>
  <c r="S193" i="1"/>
  <c r="V193" i="1" s="1"/>
  <c r="S194" i="1"/>
  <c r="V194" i="1" s="1"/>
  <c r="S195" i="1"/>
  <c r="T195" i="1" s="1"/>
  <c r="S196" i="1"/>
  <c r="T196" i="1" s="1"/>
  <c r="S197" i="1"/>
  <c r="T197" i="1" s="1"/>
  <c r="S198" i="1"/>
  <c r="V198" i="1" s="1"/>
  <c r="S199" i="1"/>
  <c r="V199" i="1" s="1"/>
  <c r="S200" i="1"/>
  <c r="T200" i="1" s="1"/>
  <c r="S201" i="1"/>
  <c r="T201" i="1" s="1"/>
  <c r="S202" i="1"/>
  <c r="T202" i="1" s="1"/>
  <c r="S203" i="1"/>
  <c r="T203" i="1" s="1"/>
  <c r="S2" i="1"/>
  <c r="T2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18" i="1"/>
  <c r="E2" i="1"/>
  <c r="J9" i="5"/>
  <c r="I9" i="5"/>
  <c r="H9" i="5"/>
  <c r="G9" i="5"/>
  <c r="F9" i="5"/>
  <c r="E9" i="5"/>
  <c r="D9" i="5"/>
  <c r="C9" i="5"/>
  <c r="B9" i="5"/>
  <c r="J8" i="5"/>
  <c r="J7" i="5"/>
  <c r="J6" i="5"/>
  <c r="J5" i="5"/>
  <c r="J4" i="5"/>
  <c r="N203" i="1"/>
  <c r="E203" i="1"/>
  <c r="C203" i="1"/>
  <c r="N202" i="1"/>
  <c r="E202" i="1"/>
  <c r="C202" i="1"/>
  <c r="N201" i="1"/>
  <c r="E201" i="1"/>
  <c r="C201" i="1"/>
  <c r="N200" i="1"/>
  <c r="E200" i="1"/>
  <c r="C200" i="1"/>
  <c r="N199" i="1"/>
  <c r="E199" i="1"/>
  <c r="C199" i="1"/>
  <c r="N198" i="1"/>
  <c r="E198" i="1"/>
  <c r="C198" i="1"/>
  <c r="N197" i="1"/>
  <c r="E197" i="1"/>
  <c r="C197" i="1"/>
  <c r="N196" i="1"/>
  <c r="E196" i="1"/>
  <c r="C196" i="1"/>
  <c r="N195" i="1"/>
  <c r="E195" i="1"/>
  <c r="C195" i="1"/>
  <c r="N194" i="1"/>
  <c r="E194" i="1"/>
  <c r="C194" i="1"/>
  <c r="N193" i="1"/>
  <c r="E193" i="1"/>
  <c r="C193" i="1"/>
  <c r="N192" i="1"/>
  <c r="E192" i="1"/>
  <c r="C192" i="1"/>
  <c r="N191" i="1"/>
  <c r="E191" i="1"/>
  <c r="C191" i="1"/>
  <c r="N190" i="1"/>
  <c r="E190" i="1"/>
  <c r="C190" i="1"/>
  <c r="N189" i="1"/>
  <c r="E189" i="1"/>
  <c r="C189" i="1"/>
  <c r="N188" i="1"/>
  <c r="E188" i="1"/>
  <c r="C188" i="1"/>
  <c r="N187" i="1"/>
  <c r="E187" i="1"/>
  <c r="C187" i="1"/>
  <c r="N186" i="1"/>
  <c r="E186" i="1"/>
  <c r="C186" i="1"/>
  <c r="N185" i="1"/>
  <c r="E185" i="1"/>
  <c r="C185" i="1"/>
  <c r="N184" i="1"/>
  <c r="E184" i="1"/>
  <c r="C184" i="1"/>
  <c r="N183" i="1"/>
  <c r="E183" i="1"/>
  <c r="C183" i="1"/>
  <c r="N182" i="1"/>
  <c r="E182" i="1"/>
  <c r="C182" i="1"/>
  <c r="N181" i="1"/>
  <c r="E181" i="1"/>
  <c r="C181" i="1"/>
  <c r="N180" i="1"/>
  <c r="E180" i="1"/>
  <c r="C180" i="1"/>
  <c r="N179" i="1"/>
  <c r="E179" i="1"/>
  <c r="C179" i="1"/>
  <c r="N178" i="1"/>
  <c r="E178" i="1"/>
  <c r="C178" i="1"/>
  <c r="N177" i="1"/>
  <c r="E177" i="1"/>
  <c r="C177" i="1"/>
  <c r="N176" i="1"/>
  <c r="E176" i="1"/>
  <c r="C176" i="1"/>
  <c r="N175" i="1"/>
  <c r="E175" i="1"/>
  <c r="C175" i="1"/>
  <c r="N174" i="1"/>
  <c r="E174" i="1"/>
  <c r="C174" i="1"/>
  <c r="N173" i="1"/>
  <c r="E173" i="1"/>
  <c r="C173" i="1"/>
  <c r="N172" i="1"/>
  <c r="E172" i="1"/>
  <c r="C172" i="1"/>
  <c r="N171" i="1"/>
  <c r="E171" i="1"/>
  <c r="C171" i="1"/>
  <c r="N170" i="1"/>
  <c r="E170" i="1"/>
  <c r="C170" i="1"/>
  <c r="N169" i="1"/>
  <c r="E169" i="1"/>
  <c r="C169" i="1"/>
  <c r="N168" i="1"/>
  <c r="E168" i="1"/>
  <c r="C168" i="1"/>
  <c r="N167" i="1"/>
  <c r="E167" i="1"/>
  <c r="C167" i="1"/>
  <c r="N166" i="1"/>
  <c r="E166" i="1"/>
  <c r="C166" i="1"/>
  <c r="N165" i="1"/>
  <c r="E165" i="1"/>
  <c r="C165" i="1"/>
  <c r="N164" i="1"/>
  <c r="E164" i="1"/>
  <c r="C164" i="1"/>
  <c r="N163" i="1"/>
  <c r="E163" i="1"/>
  <c r="C163" i="1"/>
  <c r="N162" i="1"/>
  <c r="E162" i="1"/>
  <c r="C162" i="1"/>
  <c r="N161" i="1"/>
  <c r="E161" i="1"/>
  <c r="C161" i="1"/>
  <c r="N160" i="1"/>
  <c r="E160" i="1"/>
  <c r="C160" i="1"/>
  <c r="N159" i="1"/>
  <c r="E159" i="1"/>
  <c r="C159" i="1"/>
  <c r="N158" i="1"/>
  <c r="E158" i="1"/>
  <c r="C158" i="1"/>
  <c r="N157" i="1"/>
  <c r="E157" i="1"/>
  <c r="C157" i="1"/>
  <c r="N156" i="1"/>
  <c r="E156" i="1"/>
  <c r="C156" i="1"/>
  <c r="N155" i="1"/>
  <c r="E155" i="1"/>
  <c r="C155" i="1"/>
  <c r="N154" i="1"/>
  <c r="E154" i="1"/>
  <c r="C154" i="1"/>
  <c r="N153" i="1"/>
  <c r="E153" i="1"/>
  <c r="C153" i="1"/>
  <c r="N152" i="1"/>
  <c r="E152" i="1"/>
  <c r="C152" i="1"/>
  <c r="N151" i="1"/>
  <c r="E151" i="1"/>
  <c r="C151" i="1"/>
  <c r="N150" i="1"/>
  <c r="E150" i="1"/>
  <c r="C150" i="1"/>
  <c r="N149" i="1"/>
  <c r="E149" i="1"/>
  <c r="C149" i="1"/>
  <c r="N148" i="1"/>
  <c r="E148" i="1"/>
  <c r="C148" i="1"/>
  <c r="N147" i="1"/>
  <c r="E147" i="1"/>
  <c r="C147" i="1"/>
  <c r="N146" i="1"/>
  <c r="E146" i="1"/>
  <c r="C146" i="1"/>
  <c r="N145" i="1"/>
  <c r="E145" i="1"/>
  <c r="C145" i="1"/>
  <c r="N144" i="1"/>
  <c r="E144" i="1"/>
  <c r="C144" i="1"/>
  <c r="N143" i="1"/>
  <c r="E143" i="1"/>
  <c r="C143" i="1"/>
  <c r="N142" i="1"/>
  <c r="E142" i="1"/>
  <c r="C142" i="1"/>
  <c r="N141" i="1"/>
  <c r="E141" i="1"/>
  <c r="C141" i="1"/>
  <c r="N140" i="1"/>
  <c r="E140" i="1"/>
  <c r="C140" i="1"/>
  <c r="N139" i="1"/>
  <c r="E139" i="1"/>
  <c r="C139" i="1"/>
  <c r="N138" i="1"/>
  <c r="E138" i="1"/>
  <c r="C138" i="1"/>
  <c r="N137" i="1"/>
  <c r="E137" i="1"/>
  <c r="C137" i="1"/>
  <c r="N136" i="1"/>
  <c r="E136" i="1"/>
  <c r="C136" i="1"/>
  <c r="N135" i="1"/>
  <c r="E135" i="1"/>
  <c r="C135" i="1"/>
  <c r="N134" i="1"/>
  <c r="E134" i="1"/>
  <c r="C134" i="1"/>
  <c r="N133" i="1"/>
  <c r="E133" i="1"/>
  <c r="C133" i="1"/>
  <c r="N132" i="1"/>
  <c r="E132" i="1"/>
  <c r="C132" i="1"/>
  <c r="N131" i="1"/>
  <c r="E131" i="1"/>
  <c r="C131" i="1"/>
  <c r="N130" i="1"/>
  <c r="E130" i="1"/>
  <c r="C130" i="1"/>
  <c r="N129" i="1"/>
  <c r="E129" i="1"/>
  <c r="C129" i="1"/>
  <c r="N128" i="1"/>
  <c r="E128" i="1"/>
  <c r="C128" i="1"/>
  <c r="N127" i="1"/>
  <c r="E127" i="1"/>
  <c r="C127" i="1"/>
  <c r="N126" i="1"/>
  <c r="E126" i="1"/>
  <c r="C126" i="1"/>
  <c r="N125" i="1"/>
  <c r="E125" i="1"/>
  <c r="C125" i="1"/>
  <c r="N124" i="1"/>
  <c r="E124" i="1"/>
  <c r="C124" i="1"/>
  <c r="N123" i="1"/>
  <c r="E123" i="1"/>
  <c r="C123" i="1"/>
  <c r="N122" i="1"/>
  <c r="E122" i="1"/>
  <c r="C122" i="1"/>
  <c r="N121" i="1"/>
  <c r="E121" i="1"/>
  <c r="C121" i="1"/>
  <c r="N120" i="1"/>
  <c r="E120" i="1"/>
  <c r="C120" i="1"/>
  <c r="N119" i="1"/>
  <c r="E119" i="1"/>
  <c r="C119" i="1"/>
  <c r="N118" i="1"/>
  <c r="E118" i="1"/>
  <c r="C118" i="1"/>
  <c r="N117" i="1"/>
  <c r="E117" i="1"/>
  <c r="C117" i="1"/>
  <c r="N116" i="1"/>
  <c r="E116" i="1"/>
  <c r="C116" i="1"/>
  <c r="N115" i="1"/>
  <c r="E115" i="1"/>
  <c r="C115" i="1"/>
  <c r="N114" i="1"/>
  <c r="E114" i="1"/>
  <c r="C114" i="1"/>
  <c r="N113" i="1"/>
  <c r="E113" i="1"/>
  <c r="C113" i="1"/>
  <c r="N112" i="1"/>
  <c r="E112" i="1"/>
  <c r="C112" i="1"/>
  <c r="N111" i="1"/>
  <c r="E111" i="1"/>
  <c r="C111" i="1"/>
  <c r="N110" i="1"/>
  <c r="E110" i="1"/>
  <c r="C110" i="1"/>
  <c r="N109" i="1"/>
  <c r="E109" i="1"/>
  <c r="C109" i="1"/>
  <c r="N108" i="1"/>
  <c r="E108" i="1"/>
  <c r="C108" i="1"/>
  <c r="N107" i="1"/>
  <c r="E107" i="1"/>
  <c r="C107" i="1"/>
  <c r="N106" i="1"/>
  <c r="E106" i="1"/>
  <c r="C106" i="1"/>
  <c r="N105" i="1"/>
  <c r="E105" i="1"/>
  <c r="C105" i="1"/>
  <c r="N104" i="1"/>
  <c r="E104" i="1"/>
  <c r="C104" i="1"/>
  <c r="N103" i="1"/>
  <c r="E103" i="1"/>
  <c r="C103" i="1"/>
  <c r="N102" i="1"/>
  <c r="E102" i="1"/>
  <c r="C102" i="1"/>
  <c r="N101" i="1"/>
  <c r="E101" i="1"/>
  <c r="C101" i="1"/>
  <c r="N100" i="1"/>
  <c r="E100" i="1"/>
  <c r="C100" i="1"/>
  <c r="N99" i="1"/>
  <c r="E99" i="1"/>
  <c r="C99" i="1"/>
  <c r="N98" i="1"/>
  <c r="E98" i="1"/>
  <c r="C98" i="1"/>
  <c r="N97" i="1"/>
  <c r="E97" i="1"/>
  <c r="C97" i="1"/>
  <c r="N96" i="1"/>
  <c r="E96" i="1"/>
  <c r="C96" i="1"/>
  <c r="N95" i="1"/>
  <c r="E95" i="1"/>
  <c r="C95" i="1"/>
  <c r="N94" i="1"/>
  <c r="E94" i="1"/>
  <c r="C94" i="1"/>
  <c r="N93" i="1"/>
  <c r="E93" i="1"/>
  <c r="C93" i="1"/>
  <c r="N92" i="1"/>
  <c r="E92" i="1"/>
  <c r="C92" i="1"/>
  <c r="N91" i="1"/>
  <c r="E91" i="1"/>
  <c r="C91" i="1"/>
  <c r="N90" i="1"/>
  <c r="E90" i="1"/>
  <c r="C90" i="1"/>
  <c r="N89" i="1"/>
  <c r="E89" i="1"/>
  <c r="C89" i="1"/>
  <c r="N88" i="1"/>
  <c r="E88" i="1"/>
  <c r="C88" i="1"/>
  <c r="N87" i="1"/>
  <c r="E87" i="1"/>
  <c r="C87" i="1"/>
  <c r="N86" i="1"/>
  <c r="E86" i="1"/>
  <c r="C86" i="1"/>
  <c r="N85" i="1"/>
  <c r="E85" i="1"/>
  <c r="C85" i="1"/>
  <c r="N84" i="1"/>
  <c r="E84" i="1"/>
  <c r="C84" i="1"/>
  <c r="N83" i="1"/>
  <c r="E83" i="1"/>
  <c r="C83" i="1"/>
  <c r="N82" i="1"/>
  <c r="E82" i="1"/>
  <c r="C82" i="1"/>
  <c r="N81" i="1"/>
  <c r="E81" i="1"/>
  <c r="C81" i="1"/>
  <c r="N80" i="1"/>
  <c r="E80" i="1"/>
  <c r="C80" i="1"/>
  <c r="N79" i="1"/>
  <c r="E79" i="1"/>
  <c r="C79" i="1"/>
  <c r="N78" i="1"/>
  <c r="E78" i="1"/>
  <c r="C78" i="1"/>
  <c r="N77" i="1"/>
  <c r="E77" i="1"/>
  <c r="C77" i="1"/>
  <c r="N76" i="1"/>
  <c r="E76" i="1"/>
  <c r="C76" i="1"/>
  <c r="N75" i="1"/>
  <c r="E75" i="1"/>
  <c r="C75" i="1"/>
  <c r="N74" i="1"/>
  <c r="E74" i="1"/>
  <c r="C74" i="1"/>
  <c r="N73" i="1"/>
  <c r="E73" i="1"/>
  <c r="C73" i="1"/>
  <c r="N72" i="1"/>
  <c r="E72" i="1"/>
  <c r="C72" i="1"/>
  <c r="N71" i="1"/>
  <c r="E71" i="1"/>
  <c r="C71" i="1"/>
  <c r="N70" i="1"/>
  <c r="E70" i="1"/>
  <c r="C70" i="1"/>
  <c r="N69" i="1"/>
  <c r="E69" i="1"/>
  <c r="C69" i="1"/>
  <c r="N68" i="1"/>
  <c r="E68" i="1"/>
  <c r="C68" i="1"/>
  <c r="N67" i="1"/>
  <c r="E67" i="1"/>
  <c r="C67" i="1"/>
  <c r="N66" i="1"/>
  <c r="E66" i="1"/>
  <c r="C66" i="1"/>
  <c r="N65" i="1"/>
  <c r="E65" i="1"/>
  <c r="C65" i="1"/>
  <c r="N64" i="1"/>
  <c r="E64" i="1"/>
  <c r="C64" i="1"/>
  <c r="N63" i="1"/>
  <c r="E63" i="1"/>
  <c r="C63" i="1"/>
  <c r="N62" i="1"/>
  <c r="E62" i="1"/>
  <c r="C62" i="1"/>
  <c r="N61" i="1"/>
  <c r="E61" i="1"/>
  <c r="C61" i="1"/>
  <c r="N60" i="1"/>
  <c r="E60" i="1"/>
  <c r="C60" i="1"/>
  <c r="N59" i="1"/>
  <c r="E59" i="1"/>
  <c r="C59" i="1"/>
  <c r="N58" i="1"/>
  <c r="E58" i="1"/>
  <c r="C58" i="1"/>
  <c r="N57" i="1"/>
  <c r="E57" i="1"/>
  <c r="C57" i="1"/>
  <c r="N56" i="1"/>
  <c r="E56" i="1"/>
  <c r="C56" i="1"/>
  <c r="N55" i="1"/>
  <c r="E55" i="1"/>
  <c r="C55" i="1"/>
  <c r="N54" i="1"/>
  <c r="E54" i="1"/>
  <c r="C54" i="1"/>
  <c r="N53" i="1"/>
  <c r="E53" i="1"/>
  <c r="C53" i="1"/>
  <c r="N52" i="1"/>
  <c r="E52" i="1"/>
  <c r="C52" i="1"/>
  <c r="N51" i="1"/>
  <c r="E51" i="1"/>
  <c r="C51" i="1"/>
  <c r="N50" i="1"/>
  <c r="E50" i="1"/>
  <c r="C50" i="1"/>
  <c r="N49" i="1"/>
  <c r="E49" i="1"/>
  <c r="C49" i="1"/>
  <c r="N48" i="1"/>
  <c r="E48" i="1"/>
  <c r="C48" i="1"/>
  <c r="N47" i="1"/>
  <c r="E47" i="1"/>
  <c r="C47" i="1"/>
  <c r="N46" i="1"/>
  <c r="E46" i="1"/>
  <c r="C46" i="1"/>
  <c r="N45" i="1"/>
  <c r="E45" i="1"/>
  <c r="C45" i="1"/>
  <c r="N44" i="1"/>
  <c r="E44" i="1"/>
  <c r="C44" i="1"/>
  <c r="N43" i="1"/>
  <c r="E43" i="1"/>
  <c r="C43" i="1"/>
  <c r="N42" i="1"/>
  <c r="E42" i="1"/>
  <c r="C42" i="1"/>
  <c r="N41" i="1"/>
  <c r="E41" i="1"/>
  <c r="C41" i="1"/>
  <c r="N40" i="1"/>
  <c r="E40" i="1"/>
  <c r="C40" i="1"/>
  <c r="N39" i="1"/>
  <c r="E39" i="1"/>
  <c r="C39" i="1"/>
  <c r="N38" i="1"/>
  <c r="E38" i="1"/>
  <c r="C38" i="1"/>
  <c r="N37" i="1"/>
  <c r="E37" i="1"/>
  <c r="C37" i="1"/>
  <c r="N36" i="1"/>
  <c r="E36" i="1"/>
  <c r="C36" i="1"/>
  <c r="N35" i="1"/>
  <c r="E35" i="1"/>
  <c r="C35" i="1"/>
  <c r="N34" i="1"/>
  <c r="E34" i="1"/>
  <c r="C34" i="1"/>
  <c r="N33" i="1"/>
  <c r="E33" i="1"/>
  <c r="C33" i="1"/>
  <c r="N32" i="1"/>
  <c r="E32" i="1"/>
  <c r="C32" i="1"/>
  <c r="N31" i="1"/>
  <c r="E31" i="1"/>
  <c r="C31" i="1"/>
  <c r="N30" i="1"/>
  <c r="E30" i="1"/>
  <c r="C30" i="1"/>
  <c r="N29" i="1"/>
  <c r="E29" i="1"/>
  <c r="C29" i="1"/>
  <c r="N28" i="1"/>
  <c r="E28" i="1"/>
  <c r="C28" i="1"/>
  <c r="N27" i="1"/>
  <c r="E27" i="1"/>
  <c r="C27" i="1"/>
  <c r="N26" i="1"/>
  <c r="E26" i="1"/>
  <c r="C26" i="1"/>
  <c r="N25" i="1"/>
  <c r="E25" i="1"/>
  <c r="C25" i="1"/>
  <c r="N24" i="1"/>
  <c r="E24" i="1"/>
  <c r="C24" i="1"/>
  <c r="N23" i="1"/>
  <c r="E23" i="1"/>
  <c r="C23" i="1"/>
  <c r="N22" i="1"/>
  <c r="E22" i="1"/>
  <c r="C22" i="1"/>
  <c r="N21" i="1"/>
  <c r="E21" i="1"/>
  <c r="C21" i="1"/>
  <c r="N20" i="1"/>
  <c r="E20" i="1"/>
  <c r="C20" i="1"/>
  <c r="N19" i="1"/>
  <c r="E19" i="1"/>
  <c r="C19" i="1"/>
  <c r="N18" i="1"/>
  <c r="E18" i="1"/>
  <c r="C18" i="1"/>
  <c r="N17" i="1"/>
  <c r="E17" i="1"/>
  <c r="C17" i="1"/>
  <c r="N16" i="1"/>
  <c r="E16" i="1"/>
  <c r="C16" i="1"/>
  <c r="N15" i="1"/>
  <c r="E15" i="1"/>
  <c r="C15" i="1"/>
  <c r="N14" i="1"/>
  <c r="E14" i="1"/>
  <c r="C14" i="1"/>
  <c r="N13" i="1"/>
  <c r="E13" i="1"/>
  <c r="C13" i="1"/>
  <c r="N12" i="1"/>
  <c r="E12" i="1"/>
  <c r="C12" i="1"/>
  <c r="N11" i="1"/>
  <c r="E11" i="1"/>
  <c r="C11" i="1"/>
  <c r="N10" i="1"/>
  <c r="E10" i="1"/>
  <c r="C10" i="1"/>
  <c r="N9" i="1"/>
  <c r="E9" i="1"/>
  <c r="C9" i="1"/>
  <c r="N8" i="1"/>
  <c r="E8" i="1"/>
  <c r="C8" i="1"/>
  <c r="N7" i="1"/>
  <c r="E7" i="1"/>
  <c r="C7" i="1"/>
  <c r="N6" i="1"/>
  <c r="E6" i="1"/>
  <c r="C6" i="1"/>
  <c r="N5" i="1"/>
  <c r="E5" i="1"/>
  <c r="C5" i="1"/>
  <c r="N4" i="1"/>
  <c r="E4" i="1"/>
  <c r="C4" i="1"/>
  <c r="N3" i="1"/>
  <c r="E3" i="1"/>
  <c r="C3" i="1"/>
  <c r="N2" i="1"/>
  <c r="C2" i="1"/>
  <c r="V6" i="1" l="1"/>
  <c r="X6" i="1" s="1"/>
  <c r="Z6" i="1" s="1"/>
  <c r="V35" i="1"/>
  <c r="T134" i="1"/>
  <c r="X134" i="1" s="1"/>
  <c r="Z134" i="1" s="1"/>
  <c r="T38" i="1"/>
  <c r="X38" i="1" s="1"/>
  <c r="Z38" i="1" s="1"/>
  <c r="V99" i="1"/>
  <c r="V24" i="1"/>
  <c r="V79" i="1"/>
  <c r="V67" i="1"/>
  <c r="V36" i="1"/>
  <c r="V84" i="1"/>
  <c r="V147" i="1"/>
  <c r="V195" i="1"/>
  <c r="V132" i="1"/>
  <c r="V69" i="1"/>
  <c r="V3" i="1"/>
  <c r="V19" i="1"/>
  <c r="V51" i="1"/>
  <c r="T37" i="1"/>
  <c r="X37" i="1" s="1"/>
  <c r="Z37" i="1" s="1"/>
  <c r="T131" i="1"/>
  <c r="X131" i="1" s="1"/>
  <c r="Z131" i="1" s="1"/>
  <c r="V127" i="1"/>
  <c r="V56" i="1"/>
  <c r="V75" i="1"/>
  <c r="V15" i="1"/>
  <c r="V143" i="1"/>
  <c r="V159" i="1"/>
  <c r="V47" i="1"/>
  <c r="V191" i="1"/>
  <c r="T39" i="1"/>
  <c r="X39" i="1" s="1"/>
  <c r="Z39" i="1" s="1"/>
  <c r="V43" i="1"/>
  <c r="V88" i="1"/>
  <c r="V187" i="1"/>
  <c r="V20" i="1"/>
  <c r="V83" i="1"/>
  <c r="V102" i="1"/>
  <c r="V150" i="1"/>
  <c r="T148" i="1"/>
  <c r="X148" i="1" s="1"/>
  <c r="Z148" i="1" s="1"/>
  <c r="T54" i="1"/>
  <c r="X54" i="1" s="1"/>
  <c r="Z54" i="1" s="1"/>
  <c r="V117" i="1"/>
  <c r="V180" i="1"/>
  <c r="V196" i="1"/>
  <c r="T116" i="1"/>
  <c r="X116" i="1" s="1"/>
  <c r="Z116" i="1" s="1"/>
  <c r="T198" i="1"/>
  <c r="X198" i="1" s="1"/>
  <c r="Z198" i="1" s="1"/>
  <c r="T103" i="1"/>
  <c r="X103" i="1" s="1"/>
  <c r="Z103" i="1" s="1"/>
  <c r="T22" i="1"/>
  <c r="X22" i="1" s="1"/>
  <c r="Z22" i="1" s="1"/>
  <c r="V85" i="1"/>
  <c r="V167" i="1"/>
  <c r="V182" i="1"/>
  <c r="T118" i="1"/>
  <c r="X118" i="1" s="1"/>
  <c r="Z118" i="1" s="1"/>
  <c r="V70" i="1"/>
  <c r="V133" i="1"/>
  <c r="T199" i="1"/>
  <c r="X199" i="1" s="1"/>
  <c r="Z199" i="1" s="1"/>
  <c r="V52" i="1"/>
  <c r="V100" i="1"/>
  <c r="V115" i="1"/>
  <c r="V163" i="1"/>
  <c r="T179" i="1"/>
  <c r="X179" i="1" s="1"/>
  <c r="Z179" i="1" s="1"/>
  <c r="V166" i="1"/>
  <c r="V4" i="1"/>
  <c r="T165" i="1"/>
  <c r="X165" i="1" s="1"/>
  <c r="Z165" i="1" s="1"/>
  <c r="T5" i="1"/>
  <c r="X5" i="1" s="1"/>
  <c r="Z5" i="1" s="1"/>
  <c r="T164" i="1"/>
  <c r="X164" i="1" s="1"/>
  <c r="Z164" i="1" s="1"/>
  <c r="T87" i="1"/>
  <c r="X87" i="1" s="1"/>
  <c r="Z87" i="1" s="1"/>
  <c r="V23" i="1"/>
  <c r="V86" i="1"/>
  <c r="V149" i="1"/>
  <c r="V53" i="1"/>
  <c r="T152" i="1"/>
  <c r="X152" i="1" s="1"/>
  <c r="Z152" i="1" s="1"/>
  <c r="V68" i="1"/>
  <c r="V135" i="1"/>
  <c r="T151" i="1"/>
  <c r="X151" i="1" s="1"/>
  <c r="Z151" i="1" s="1"/>
  <c r="V197" i="1"/>
  <c r="V71" i="1"/>
  <c r="T183" i="1"/>
  <c r="X183" i="1" s="1"/>
  <c r="Z183" i="1" s="1"/>
  <c r="V7" i="1"/>
  <c r="V104" i="1"/>
  <c r="T21" i="1"/>
  <c r="X21" i="1" s="1"/>
  <c r="Z21" i="1" s="1"/>
  <c r="V95" i="1"/>
  <c r="V136" i="1"/>
  <c r="V12" i="1"/>
  <c r="V63" i="1"/>
  <c r="T181" i="1"/>
  <c r="X181" i="1" s="1"/>
  <c r="Z181" i="1" s="1"/>
  <c r="V31" i="1"/>
  <c r="V175" i="1"/>
  <c r="V40" i="1"/>
  <c r="V119" i="1"/>
  <c r="T120" i="1"/>
  <c r="X120" i="1" s="1"/>
  <c r="Z120" i="1" s="1"/>
  <c r="V8" i="1"/>
  <c r="V101" i="1"/>
  <c r="V124" i="1"/>
  <c r="T55" i="1"/>
  <c r="X55" i="1" s="1"/>
  <c r="Z55" i="1" s="1"/>
  <c r="V111" i="1"/>
  <c r="V92" i="1"/>
  <c r="V155" i="1"/>
  <c r="V200" i="1"/>
  <c r="T168" i="1"/>
  <c r="X168" i="1" s="1"/>
  <c r="Z168" i="1" s="1"/>
  <c r="V107" i="1"/>
  <c r="T72" i="1"/>
  <c r="X72" i="1" s="1"/>
  <c r="Z72" i="1" s="1"/>
  <c r="V44" i="1"/>
  <c r="V76" i="1"/>
  <c r="V139" i="1"/>
  <c r="V184" i="1"/>
  <c r="V156" i="1"/>
  <c r="V188" i="1"/>
  <c r="V27" i="1"/>
  <c r="V108" i="1"/>
  <c r="V171" i="1"/>
  <c r="V59" i="1"/>
  <c r="V140" i="1"/>
  <c r="V203" i="1"/>
  <c r="V2" i="1"/>
  <c r="V172" i="1"/>
  <c r="V28" i="1"/>
  <c r="V60" i="1"/>
  <c r="V91" i="1"/>
  <c r="V123" i="1"/>
  <c r="V11" i="1"/>
  <c r="V192" i="1"/>
  <c r="T194" i="1"/>
  <c r="X194" i="1" s="1"/>
  <c r="Z194" i="1" s="1"/>
  <c r="T178" i="1"/>
  <c r="X178" i="1" s="1"/>
  <c r="Z178" i="1" s="1"/>
  <c r="T162" i="1"/>
  <c r="X162" i="1" s="1"/>
  <c r="Z162" i="1" s="1"/>
  <c r="T146" i="1"/>
  <c r="X146" i="1" s="1"/>
  <c r="Z146" i="1" s="1"/>
  <c r="T130" i="1"/>
  <c r="X130" i="1" s="1"/>
  <c r="Z130" i="1" s="1"/>
  <c r="T114" i="1"/>
  <c r="X114" i="1" s="1"/>
  <c r="Z114" i="1" s="1"/>
  <c r="T98" i="1"/>
  <c r="X98" i="1" s="1"/>
  <c r="Z98" i="1" s="1"/>
  <c r="T82" i="1"/>
  <c r="X82" i="1" s="1"/>
  <c r="Z82" i="1" s="1"/>
  <c r="T66" i="1"/>
  <c r="X66" i="1" s="1"/>
  <c r="Z66" i="1" s="1"/>
  <c r="T50" i="1"/>
  <c r="X50" i="1" s="1"/>
  <c r="Z50" i="1" s="1"/>
  <c r="T34" i="1"/>
  <c r="X34" i="1" s="1"/>
  <c r="Z34" i="1" s="1"/>
  <c r="T18" i="1"/>
  <c r="X18" i="1" s="1"/>
  <c r="Z18" i="1" s="1"/>
  <c r="V64" i="1"/>
  <c r="V128" i="1"/>
  <c r="T161" i="1"/>
  <c r="X161" i="1" s="1"/>
  <c r="Z161" i="1" s="1"/>
  <c r="T129" i="1"/>
  <c r="X129" i="1" s="1"/>
  <c r="Z129" i="1" s="1"/>
  <c r="T81" i="1"/>
  <c r="X81" i="1" s="1"/>
  <c r="Z81" i="1" s="1"/>
  <c r="T65" i="1"/>
  <c r="X65" i="1" s="1"/>
  <c r="Z65" i="1" s="1"/>
  <c r="T33" i="1"/>
  <c r="X33" i="1" s="1"/>
  <c r="Z33" i="1" s="1"/>
  <c r="T80" i="1"/>
  <c r="X80" i="1" s="1"/>
  <c r="Z80" i="1" s="1"/>
  <c r="T16" i="1"/>
  <c r="X16" i="1" s="1"/>
  <c r="Z16" i="1" s="1"/>
  <c r="V45" i="1"/>
  <c r="V61" i="1"/>
  <c r="V97" i="1"/>
  <c r="V125" i="1"/>
  <c r="V137" i="1"/>
  <c r="V145" i="1"/>
  <c r="T190" i="1"/>
  <c r="X190" i="1" s="1"/>
  <c r="Z190" i="1" s="1"/>
  <c r="T174" i="1"/>
  <c r="X174" i="1" s="1"/>
  <c r="Z174" i="1" s="1"/>
  <c r="T142" i="1"/>
  <c r="X142" i="1" s="1"/>
  <c r="Z142" i="1" s="1"/>
  <c r="T94" i="1"/>
  <c r="X94" i="1" s="1"/>
  <c r="Z94" i="1" s="1"/>
  <c r="T14" i="1"/>
  <c r="X14" i="1" s="1"/>
  <c r="Z14" i="1" s="1"/>
  <c r="V32" i="1"/>
  <c r="V48" i="1"/>
  <c r="T189" i="1"/>
  <c r="X189" i="1" s="1"/>
  <c r="Z189" i="1" s="1"/>
  <c r="T157" i="1"/>
  <c r="X157" i="1" s="1"/>
  <c r="Z157" i="1" s="1"/>
  <c r="T93" i="1"/>
  <c r="X93" i="1" s="1"/>
  <c r="Z93" i="1" s="1"/>
  <c r="T77" i="1"/>
  <c r="X77" i="1" s="1"/>
  <c r="Z77" i="1" s="1"/>
  <c r="T13" i="1"/>
  <c r="X13" i="1" s="1"/>
  <c r="Z13" i="1" s="1"/>
  <c r="T193" i="1"/>
  <c r="X193" i="1" s="1"/>
  <c r="Z193" i="1" s="1"/>
  <c r="T176" i="1"/>
  <c r="X176" i="1" s="1"/>
  <c r="Z176" i="1" s="1"/>
  <c r="V49" i="1"/>
  <c r="V105" i="1"/>
  <c r="V169" i="1"/>
  <c r="V177" i="1"/>
  <c r="V201" i="1"/>
  <c r="T158" i="1"/>
  <c r="X158" i="1" s="1"/>
  <c r="Z158" i="1" s="1"/>
  <c r="T110" i="1"/>
  <c r="X110" i="1" s="1"/>
  <c r="Z110" i="1" s="1"/>
  <c r="T78" i="1"/>
  <c r="X78" i="1" s="1"/>
  <c r="Z78" i="1" s="1"/>
  <c r="T62" i="1"/>
  <c r="X62" i="1" s="1"/>
  <c r="Z62" i="1" s="1"/>
  <c r="T46" i="1"/>
  <c r="X46" i="1" s="1"/>
  <c r="Z46" i="1" s="1"/>
  <c r="T30" i="1"/>
  <c r="X30" i="1" s="1"/>
  <c r="Z30" i="1" s="1"/>
  <c r="T173" i="1"/>
  <c r="X173" i="1" s="1"/>
  <c r="Z173" i="1" s="1"/>
  <c r="T141" i="1"/>
  <c r="X141" i="1" s="1"/>
  <c r="Z141" i="1" s="1"/>
  <c r="T109" i="1"/>
  <c r="X109" i="1" s="1"/>
  <c r="Z109" i="1" s="1"/>
  <c r="T29" i="1"/>
  <c r="X29" i="1" s="1"/>
  <c r="Z29" i="1" s="1"/>
  <c r="V96" i="1"/>
  <c r="T160" i="1"/>
  <c r="X160" i="1" s="1"/>
  <c r="Z160" i="1" s="1"/>
  <c r="V9" i="1"/>
  <c r="V17" i="1"/>
  <c r="V25" i="1"/>
  <c r="V41" i="1"/>
  <c r="V57" i="1"/>
  <c r="V73" i="1"/>
  <c r="V121" i="1"/>
  <c r="V153" i="1"/>
  <c r="V42" i="1"/>
  <c r="V154" i="1"/>
  <c r="V170" i="1"/>
  <c r="V202" i="1"/>
  <c r="T186" i="1"/>
  <c r="X186" i="1" s="1"/>
  <c r="Z186" i="1" s="1"/>
  <c r="T138" i="1"/>
  <c r="X138" i="1" s="1"/>
  <c r="Z138" i="1" s="1"/>
  <c r="T122" i="1"/>
  <c r="X122" i="1" s="1"/>
  <c r="Z122" i="1" s="1"/>
  <c r="T106" i="1"/>
  <c r="X106" i="1" s="1"/>
  <c r="Z106" i="1" s="1"/>
  <c r="T90" i="1"/>
  <c r="X90" i="1" s="1"/>
  <c r="Z90" i="1" s="1"/>
  <c r="T74" i="1"/>
  <c r="X74" i="1" s="1"/>
  <c r="Z74" i="1" s="1"/>
  <c r="T58" i="1"/>
  <c r="X58" i="1" s="1"/>
  <c r="Z58" i="1" s="1"/>
  <c r="T26" i="1"/>
  <c r="X26" i="1" s="1"/>
  <c r="Z26" i="1" s="1"/>
  <c r="T10" i="1"/>
  <c r="X10" i="1" s="1"/>
  <c r="Z10" i="1" s="1"/>
  <c r="V112" i="1"/>
  <c r="V144" i="1"/>
  <c r="T113" i="1"/>
  <c r="X113" i="1" s="1"/>
  <c r="Z113" i="1" s="1"/>
  <c r="V89" i="1"/>
  <c r="V185" i="1"/>
  <c r="T126" i="1"/>
  <c r="X126" i="1" s="1"/>
  <c r="Z126" i="1" s="1"/>
  <c r="AA109" i="1" l="1"/>
  <c r="AA158" i="1"/>
  <c r="AA21" i="1"/>
  <c r="AA94" i="1"/>
  <c r="AA110" i="1"/>
  <c r="AA134" i="1"/>
  <c r="AA181" i="1"/>
  <c r="AA157" i="1"/>
  <c r="AA189" i="1"/>
  <c r="AA5" i="1"/>
  <c r="AA37" i="1"/>
  <c r="AA16" i="1"/>
  <c r="AA126" i="1"/>
  <c r="AA174" i="1"/>
  <c r="X172" i="1"/>
  <c r="Z172" i="1" s="1"/>
  <c r="AA172" i="1"/>
  <c r="X187" i="1"/>
  <c r="Z187" i="1" s="1"/>
  <c r="AA186" i="1"/>
  <c r="AA187" i="1"/>
  <c r="X2" i="1"/>
  <c r="Z2" i="1" s="1"/>
  <c r="AA2" i="1"/>
  <c r="X69" i="1"/>
  <c r="Z69" i="1" s="1"/>
  <c r="AA69" i="1"/>
  <c r="X203" i="1"/>
  <c r="Z203" i="1" s="1"/>
  <c r="AA203" i="1"/>
  <c r="X85" i="1"/>
  <c r="Z85" i="1" s="1"/>
  <c r="AA85" i="1"/>
  <c r="AA62" i="1"/>
  <c r="X61" i="1"/>
  <c r="Z61" i="1" s="1"/>
  <c r="AA61" i="1"/>
  <c r="AA78" i="1"/>
  <c r="X104" i="1"/>
  <c r="Z104" i="1" s="1"/>
  <c r="AA103" i="1"/>
  <c r="AA104" i="1"/>
  <c r="X7" i="1"/>
  <c r="Z7" i="1" s="1"/>
  <c r="AA7" i="1"/>
  <c r="AA173" i="1"/>
  <c r="X154" i="1"/>
  <c r="Z154" i="1" s="1"/>
  <c r="AA154" i="1"/>
  <c r="X124" i="1"/>
  <c r="Z124" i="1" s="1"/>
  <c r="AA124" i="1"/>
  <c r="X89" i="1"/>
  <c r="Z89" i="1" s="1"/>
  <c r="AA89" i="1"/>
  <c r="X27" i="1"/>
  <c r="Z27" i="1" s="1"/>
  <c r="AA27" i="1"/>
  <c r="AA26" i="1"/>
  <c r="X101" i="1"/>
  <c r="Z101" i="1" s="1"/>
  <c r="AA101" i="1"/>
  <c r="X71" i="1"/>
  <c r="Z71" i="1" s="1"/>
  <c r="AA71" i="1"/>
  <c r="X196" i="1"/>
  <c r="Z196" i="1" s="1"/>
  <c r="AA196" i="1"/>
  <c r="X143" i="1"/>
  <c r="Z143" i="1" s="1"/>
  <c r="AA143" i="1"/>
  <c r="X67" i="1"/>
  <c r="Z67" i="1" s="1"/>
  <c r="AA66" i="1"/>
  <c r="AA67" i="1"/>
  <c r="AA142" i="1"/>
  <c r="X137" i="1"/>
  <c r="Z137" i="1" s="1"/>
  <c r="AA137" i="1"/>
  <c r="X182" i="1"/>
  <c r="Z182" i="1" s="1"/>
  <c r="AA182" i="1"/>
  <c r="X96" i="1"/>
  <c r="Z96" i="1" s="1"/>
  <c r="AA96" i="1"/>
  <c r="X200" i="1"/>
  <c r="Z200" i="1" s="1"/>
  <c r="AA199" i="1"/>
  <c r="AA200" i="1"/>
  <c r="AA148" i="1"/>
  <c r="X97" i="1"/>
  <c r="Z97" i="1" s="1"/>
  <c r="AA97" i="1"/>
  <c r="X155" i="1"/>
  <c r="Z155" i="1" s="1"/>
  <c r="AA155" i="1"/>
  <c r="X132" i="1"/>
  <c r="Z132" i="1" s="1"/>
  <c r="AA132" i="1"/>
  <c r="AA130" i="1"/>
  <c r="AA164" i="1"/>
  <c r="X140" i="1"/>
  <c r="Z140" i="1" s="1"/>
  <c r="AA140" i="1"/>
  <c r="X195" i="1"/>
  <c r="Z195" i="1" s="1"/>
  <c r="AA195" i="1"/>
  <c r="AA194" i="1"/>
  <c r="X45" i="1"/>
  <c r="Z45" i="1" s="1"/>
  <c r="AA45" i="1"/>
  <c r="X59" i="1"/>
  <c r="Z59" i="1" s="1"/>
  <c r="AA59" i="1"/>
  <c r="AA58" i="1"/>
  <c r="X147" i="1"/>
  <c r="Z147" i="1" s="1"/>
  <c r="AA147" i="1"/>
  <c r="AA146" i="1"/>
  <c r="X47" i="1"/>
  <c r="Z47" i="1" s="1"/>
  <c r="AA47" i="1"/>
  <c r="X185" i="1"/>
  <c r="Z185" i="1" s="1"/>
  <c r="AA185" i="1"/>
  <c r="X159" i="1"/>
  <c r="Z159" i="1" s="1"/>
  <c r="AA159" i="1"/>
  <c r="X42" i="1"/>
  <c r="Z42" i="1" s="1"/>
  <c r="AA42" i="1"/>
  <c r="X153" i="1"/>
  <c r="Z153" i="1" s="1"/>
  <c r="AA153" i="1"/>
  <c r="AA152" i="1"/>
  <c r="AA151" i="1"/>
  <c r="X48" i="1"/>
  <c r="Z48" i="1" s="1"/>
  <c r="AA48" i="1"/>
  <c r="X188" i="1"/>
  <c r="Z188" i="1" s="1"/>
  <c r="AA188" i="1"/>
  <c r="X8" i="1"/>
  <c r="Z8" i="1" s="1"/>
  <c r="AA8" i="1"/>
  <c r="X197" i="1"/>
  <c r="Z197" i="1" s="1"/>
  <c r="AA197" i="1"/>
  <c r="X163" i="1"/>
  <c r="Z163" i="1" s="1"/>
  <c r="AA163" i="1"/>
  <c r="AA162" i="1"/>
  <c r="X180" i="1"/>
  <c r="Z180" i="1" s="1"/>
  <c r="AA180" i="1"/>
  <c r="AA178" i="1"/>
  <c r="X15" i="1"/>
  <c r="Z15" i="1" s="1"/>
  <c r="AA15" i="1"/>
  <c r="X79" i="1"/>
  <c r="Z79" i="1" s="1"/>
  <c r="AA79" i="1"/>
  <c r="AA6" i="1"/>
  <c r="X12" i="1"/>
  <c r="Z12" i="1" s="1"/>
  <c r="AA12" i="1"/>
  <c r="X3" i="1"/>
  <c r="Z3" i="1" s="1"/>
  <c r="AA3" i="1"/>
  <c r="X136" i="1"/>
  <c r="Z136" i="1" s="1"/>
  <c r="AA136" i="1"/>
  <c r="AA93" i="1"/>
  <c r="X95" i="1"/>
  <c r="Z95" i="1" s="1"/>
  <c r="AA95" i="1"/>
  <c r="X43" i="1"/>
  <c r="Z43" i="1" s="1"/>
  <c r="AA43" i="1"/>
  <c r="X92" i="1"/>
  <c r="Z92" i="1" s="1"/>
  <c r="AA92" i="1"/>
  <c r="AA141" i="1"/>
  <c r="X202" i="1"/>
  <c r="Z202" i="1" s="1"/>
  <c r="AA202" i="1"/>
  <c r="X111" i="1"/>
  <c r="Z111" i="1" s="1"/>
  <c r="AA111" i="1"/>
  <c r="X191" i="1"/>
  <c r="Z191" i="1" s="1"/>
  <c r="AA191" i="1"/>
  <c r="X170" i="1"/>
  <c r="Z170" i="1" s="1"/>
  <c r="AA170" i="1"/>
  <c r="X171" i="1"/>
  <c r="Z171" i="1" s="1"/>
  <c r="AA171" i="1"/>
  <c r="X4" i="1"/>
  <c r="Z4" i="1" s="1"/>
  <c r="AA4" i="1"/>
  <c r="X84" i="1"/>
  <c r="Z84" i="1" s="1"/>
  <c r="AA84" i="1"/>
  <c r="X108" i="1"/>
  <c r="Z108" i="1" s="1"/>
  <c r="AA108" i="1"/>
  <c r="X166" i="1"/>
  <c r="Z166" i="1" s="1"/>
  <c r="AA166" i="1"/>
  <c r="X36" i="1"/>
  <c r="Z36" i="1" s="1"/>
  <c r="AA36" i="1"/>
  <c r="AA165" i="1"/>
  <c r="X144" i="1"/>
  <c r="Z144" i="1" s="1"/>
  <c r="AA144" i="1"/>
  <c r="X121" i="1"/>
  <c r="Z121" i="1" s="1"/>
  <c r="AA121" i="1"/>
  <c r="AA120" i="1"/>
  <c r="X32" i="1"/>
  <c r="Z32" i="1" s="1"/>
  <c r="AA32" i="1"/>
  <c r="X156" i="1"/>
  <c r="Z156" i="1" s="1"/>
  <c r="AA156" i="1"/>
  <c r="X115" i="1"/>
  <c r="Z115" i="1" s="1"/>
  <c r="AA114" i="1"/>
  <c r="AA115" i="1"/>
  <c r="X117" i="1"/>
  <c r="Z117" i="1" s="1"/>
  <c r="AA117" i="1"/>
  <c r="X75" i="1"/>
  <c r="Z75" i="1" s="1"/>
  <c r="AA75" i="1"/>
  <c r="AA74" i="1"/>
  <c r="X24" i="1"/>
  <c r="Z24" i="1" s="1"/>
  <c r="AA24" i="1"/>
  <c r="AA160" i="1"/>
  <c r="AA190" i="1"/>
  <c r="X23" i="1"/>
  <c r="Z23" i="1" s="1"/>
  <c r="AA23" i="1"/>
  <c r="AA116" i="1"/>
  <c r="X88" i="1"/>
  <c r="Z88" i="1" s="1"/>
  <c r="AA87" i="1"/>
  <c r="AA88" i="1"/>
  <c r="X112" i="1"/>
  <c r="Z112" i="1" s="1"/>
  <c r="AA112" i="1"/>
  <c r="X119" i="1"/>
  <c r="Z119" i="1" s="1"/>
  <c r="AA119" i="1"/>
  <c r="X56" i="1"/>
  <c r="Z56" i="1" s="1"/>
  <c r="AA55" i="1"/>
  <c r="AA56" i="1"/>
  <c r="AA65" i="1"/>
  <c r="X40" i="1"/>
  <c r="Z40" i="1" s="1"/>
  <c r="AA39" i="1"/>
  <c r="AA40" i="1"/>
  <c r="X127" i="1"/>
  <c r="Z127" i="1" s="1"/>
  <c r="AA127" i="1"/>
  <c r="AA176" i="1"/>
  <c r="X201" i="1"/>
  <c r="Z201" i="1" s="1"/>
  <c r="AA201" i="1"/>
  <c r="X123" i="1"/>
  <c r="Z123" i="1" s="1"/>
  <c r="AA123" i="1"/>
  <c r="AA122" i="1"/>
  <c r="AA129" i="1"/>
  <c r="X177" i="1"/>
  <c r="Z177" i="1" s="1"/>
  <c r="AA177" i="1"/>
  <c r="X91" i="1"/>
  <c r="Z91" i="1" s="1"/>
  <c r="AA90" i="1"/>
  <c r="AA91" i="1"/>
  <c r="X102" i="1"/>
  <c r="Z102" i="1" s="1"/>
  <c r="AA102" i="1"/>
  <c r="AA193" i="1"/>
  <c r="X49" i="1"/>
  <c r="Z49" i="1" s="1"/>
  <c r="AA49" i="1"/>
  <c r="AA30" i="1"/>
  <c r="X167" i="1"/>
  <c r="Z167" i="1" s="1"/>
  <c r="AA167" i="1"/>
  <c r="X184" i="1"/>
  <c r="Z184" i="1" s="1"/>
  <c r="AA183" i="1"/>
  <c r="AA184" i="1"/>
  <c r="X100" i="1"/>
  <c r="Z100" i="1" s="1"/>
  <c r="AA100" i="1"/>
  <c r="AA22" i="1"/>
  <c r="X11" i="1"/>
  <c r="Z11" i="1" s="1"/>
  <c r="AA10" i="1"/>
  <c r="AA11" i="1"/>
  <c r="X68" i="1"/>
  <c r="Z68" i="1" s="1"/>
  <c r="AA68" i="1"/>
  <c r="AA38" i="1"/>
  <c r="X128" i="1"/>
  <c r="Z128" i="1" s="1"/>
  <c r="AA128" i="1"/>
  <c r="X175" i="1"/>
  <c r="Z175" i="1" s="1"/>
  <c r="AA175" i="1"/>
  <c r="X150" i="1"/>
  <c r="Z150" i="1" s="1"/>
  <c r="AA150" i="1"/>
  <c r="AA54" i="1"/>
  <c r="X44" i="1"/>
  <c r="Z44" i="1" s="1"/>
  <c r="AA44" i="1"/>
  <c r="X53" i="1"/>
  <c r="Z53" i="1" s="1"/>
  <c r="AA53" i="1"/>
  <c r="X35" i="1"/>
  <c r="Z35" i="1" s="1"/>
  <c r="AA34" i="1"/>
  <c r="AA35" i="1"/>
  <c r="AA118" i="1"/>
  <c r="X17" i="1"/>
  <c r="Z17" i="1" s="1"/>
  <c r="AA17" i="1"/>
  <c r="X60" i="1"/>
  <c r="Z60" i="1" s="1"/>
  <c r="AA60" i="1"/>
  <c r="X149" i="1"/>
  <c r="Z149" i="1" s="1"/>
  <c r="AA149" i="1"/>
  <c r="X70" i="1"/>
  <c r="Z70" i="1" s="1"/>
  <c r="AA70" i="1"/>
  <c r="X83" i="1"/>
  <c r="Z83" i="1" s="1"/>
  <c r="AA82" i="1"/>
  <c r="AA83" i="1"/>
  <c r="X51" i="1"/>
  <c r="Z51" i="1" s="1"/>
  <c r="AA50" i="1"/>
  <c r="AA51" i="1"/>
  <c r="AA13" i="1"/>
  <c r="AA131" i="1"/>
  <c r="AA161" i="1"/>
  <c r="AA77" i="1"/>
  <c r="X125" i="1"/>
  <c r="Z125" i="1" s="1"/>
  <c r="AA125" i="1"/>
  <c r="AA46" i="1"/>
  <c r="X73" i="1"/>
  <c r="Z73" i="1" s="1"/>
  <c r="AA72" i="1"/>
  <c r="AA73" i="1"/>
  <c r="X192" i="1"/>
  <c r="Z192" i="1" s="1"/>
  <c r="AA192" i="1"/>
  <c r="X135" i="1"/>
  <c r="Z135" i="1" s="1"/>
  <c r="AA135" i="1"/>
  <c r="X99" i="1"/>
  <c r="Z99" i="1" s="1"/>
  <c r="AA98" i="1"/>
  <c r="AA99" i="1"/>
  <c r="AA80" i="1"/>
  <c r="X57" i="1"/>
  <c r="Z57" i="1" s="1"/>
  <c r="AA57" i="1"/>
  <c r="X139" i="1"/>
  <c r="Z139" i="1" s="1"/>
  <c r="AA139" i="1"/>
  <c r="AA138" i="1"/>
  <c r="X52" i="1"/>
  <c r="Z52" i="1" s="1"/>
  <c r="AA52" i="1"/>
  <c r="AA81" i="1"/>
  <c r="X41" i="1"/>
  <c r="Z41" i="1" s="1"/>
  <c r="AA41" i="1"/>
  <c r="X76" i="1"/>
  <c r="Z76" i="1" s="1"/>
  <c r="AA76" i="1"/>
  <c r="AA33" i="1"/>
  <c r="X25" i="1"/>
  <c r="Z25" i="1" s="1"/>
  <c r="AA25" i="1"/>
  <c r="X64" i="1"/>
  <c r="Z64" i="1" s="1"/>
  <c r="AA64" i="1"/>
  <c r="X31" i="1"/>
  <c r="Z31" i="1" s="1"/>
  <c r="AA31" i="1"/>
  <c r="X133" i="1"/>
  <c r="Z133" i="1" s="1"/>
  <c r="AA133" i="1"/>
  <c r="AA113" i="1"/>
  <c r="X169" i="1"/>
  <c r="Z169" i="1" s="1"/>
  <c r="AA169" i="1"/>
  <c r="AA168" i="1"/>
  <c r="X9" i="1"/>
  <c r="Z9" i="1" s="1"/>
  <c r="AA9" i="1"/>
  <c r="X105" i="1"/>
  <c r="Z105" i="1" s="1"/>
  <c r="AA105" i="1"/>
  <c r="X145" i="1"/>
  <c r="Z145" i="1" s="1"/>
  <c r="AA145" i="1"/>
  <c r="X28" i="1"/>
  <c r="Z28" i="1" s="1"/>
  <c r="AA28" i="1"/>
  <c r="X107" i="1"/>
  <c r="Z107" i="1" s="1"/>
  <c r="AA106" i="1"/>
  <c r="AA107" i="1"/>
  <c r="X63" i="1"/>
  <c r="Z63" i="1" s="1"/>
  <c r="AA63" i="1"/>
  <c r="X86" i="1"/>
  <c r="Z86" i="1" s="1"/>
  <c r="AA86" i="1"/>
  <c r="X20" i="1"/>
  <c r="Z20" i="1" s="1"/>
  <c r="AA20" i="1"/>
  <c r="X19" i="1"/>
  <c r="Z19" i="1" s="1"/>
  <c r="AA18" i="1"/>
  <c r="AA19" i="1"/>
  <c r="AA29" i="1"/>
  <c r="AA14" i="1"/>
  <c r="AA179" i="1"/>
  <c r="AA19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<sst xmlns="http://schemas.openxmlformats.org/spreadsheetml/2006/main" count="2111" uniqueCount="494">
  <si>
    <t>订单编号</t>
  </si>
  <si>
    <t>下单日期</t>
  </si>
  <si>
    <t>客户ID</t>
  </si>
  <si>
    <t>客户名称</t>
  </si>
  <si>
    <t>销售员</t>
  </si>
  <si>
    <t>区域</t>
  </si>
  <si>
    <t>产品编码</t>
  </si>
  <si>
    <t>产品名称</t>
  </si>
  <si>
    <t>DD-20260101-0001</t>
  </si>
  <si>
    <t>KH003</t>
  </si>
  <si>
    <t>广州启航教育</t>
  </si>
  <si>
    <t>孙悦</t>
  </si>
  <si>
    <t>CP011</t>
  </si>
  <si>
    <t>办公软件年费授权</t>
  </si>
  <si>
    <t>已取消</t>
  </si>
  <si>
    <t>DD-20260103-0002</t>
  </si>
  <si>
    <t>KH002</t>
  </si>
  <si>
    <t>上海锦程贸易</t>
  </si>
  <si>
    <t>李娜</t>
  </si>
  <si>
    <t>华东</t>
  </si>
  <si>
    <t>CP007</t>
  </si>
  <si>
    <t>无线键鼠套装 KeyFree 2.0</t>
  </si>
  <si>
    <t>已发货</t>
  </si>
  <si>
    <t>DD-20260103-0003</t>
  </si>
  <si>
    <t>陈静</t>
  </si>
  <si>
    <t>华南</t>
  </si>
  <si>
    <t>CP003</t>
  </si>
  <si>
    <t>碎纸机 SafeCut S8</t>
  </si>
  <si>
    <t>1</t>
  </si>
  <si>
    <t>DD-20260107-0004</t>
  </si>
  <si>
    <t>2026年1月7日</t>
  </si>
  <si>
    <t>KH012</t>
  </si>
  <si>
    <t>长沙麓山科技</t>
  </si>
  <si>
    <t>华中区</t>
  </si>
  <si>
    <t>DD-20260107-0005</t>
  </si>
  <si>
    <t>KH019</t>
  </si>
  <si>
    <t>北京中关新材</t>
  </si>
  <si>
    <t>王强</t>
  </si>
  <si>
    <t>华北</t>
  </si>
  <si>
    <t>CP008</t>
  </si>
  <si>
    <t>A4复印纸（5包/箱）</t>
  </si>
  <si>
    <t>DD-20260109-0006</t>
  </si>
  <si>
    <t>KH017</t>
  </si>
  <si>
    <t>郑州中原物流</t>
  </si>
  <si>
    <t>赵磊</t>
  </si>
  <si>
    <t>华中</t>
  </si>
  <si>
    <t>20</t>
  </si>
  <si>
    <t>DD-20260109-0007</t>
  </si>
  <si>
    <t>CP010</t>
  </si>
  <si>
    <t>签字笔盒装（12支）</t>
  </si>
  <si>
    <t>已完成</t>
  </si>
  <si>
    <t>DD-20260113-0008</t>
  </si>
  <si>
    <t>KH007</t>
  </si>
  <si>
    <t>武汉长江实业</t>
  </si>
  <si>
    <t>DD-20260117-0009</t>
  </si>
  <si>
    <t>杨帆</t>
  </si>
  <si>
    <t>DD-20260120-0010</t>
  </si>
  <si>
    <t>CP012</t>
  </si>
  <si>
    <t xml:space="preserve">云存储服务（1TB/年） </t>
  </si>
  <si>
    <t>DD-20260121-0011</t>
  </si>
  <si>
    <t>KH005</t>
  </si>
  <si>
    <t>杭州云图信息</t>
  </si>
  <si>
    <t>CP006</t>
  </si>
  <si>
    <t>显示器 ViewMax 27</t>
  </si>
  <si>
    <t>DD-20260123-0012</t>
  </si>
  <si>
    <t>KH011</t>
  </si>
  <si>
    <t>重庆山城办公设备</t>
  </si>
  <si>
    <t>刘洋</t>
  </si>
  <si>
    <t>西南</t>
  </si>
  <si>
    <t>11</t>
  </si>
  <si>
    <t>DD-20260124-0013</t>
  </si>
  <si>
    <t>KH006</t>
  </si>
  <si>
    <t>成都天府商贸</t>
  </si>
  <si>
    <t>CP009</t>
  </si>
  <si>
    <t>激光硒鼓 TonerMax 12A</t>
  </si>
  <si>
    <t>DD-20260125-0014</t>
  </si>
  <si>
    <t>KH001</t>
  </si>
  <si>
    <t>北京华信科技</t>
  </si>
  <si>
    <t>张伟</t>
  </si>
  <si>
    <t>32</t>
  </si>
  <si>
    <t>DD-20260126-0015</t>
  </si>
  <si>
    <t>CP001</t>
  </si>
  <si>
    <t>激光打印机 ProLaser 200</t>
  </si>
  <si>
    <t>DD-20260816-0196</t>
  </si>
  <si>
    <t>KH016</t>
  </si>
  <si>
    <t>昆明滇池科技</t>
  </si>
  <si>
    <t>西南区</t>
  </si>
  <si>
    <t>DD-20260126-0016</t>
  </si>
  <si>
    <t>DD-20260127-0017</t>
  </si>
  <si>
    <t>待付款</t>
  </si>
  <si>
    <t>DD-20260127-0018</t>
  </si>
  <si>
    <t>CP004</t>
  </si>
  <si>
    <t xml:space="preserve">笔记本电脑 TechBook 14 </t>
  </si>
  <si>
    <t>DD-20260129-0019</t>
  </si>
  <si>
    <t>KH020</t>
  </si>
  <si>
    <t>合肥科大国创</t>
  </si>
  <si>
    <t xml:space="preserve">办公软件年费授权 </t>
  </si>
  <si>
    <t>DD-20260130-0020</t>
  </si>
  <si>
    <t>KH010</t>
  </si>
  <si>
    <t>苏州创智科技</t>
  </si>
  <si>
    <t>¥2,691.00</t>
  </si>
  <si>
    <t>DD-20260131-0021</t>
  </si>
  <si>
    <t>笔记本电脑 TechBook 14</t>
  </si>
  <si>
    <t>DD-20260201-0022</t>
  </si>
  <si>
    <t>DD-20260203-0023</t>
  </si>
  <si>
    <t>DD-20260206-0024</t>
  </si>
  <si>
    <t>DD-20260703-0152</t>
  </si>
  <si>
    <t>KH009</t>
  </si>
  <si>
    <t>天津海河传媒</t>
  </si>
  <si>
    <t>华北区</t>
  </si>
  <si>
    <t>DD-20260206-0025</t>
  </si>
  <si>
    <t>DD-20260208-0026</t>
  </si>
  <si>
    <t>DD-20260216-0027</t>
  </si>
  <si>
    <t>KH014</t>
  </si>
  <si>
    <t>宁波海港实业</t>
  </si>
  <si>
    <t>华东区</t>
  </si>
  <si>
    <t>¥62,689.00</t>
  </si>
  <si>
    <t>DD-20260221-0028</t>
  </si>
  <si>
    <t>DD-20260221-0029</t>
  </si>
  <si>
    <t>DD-20260512-0102</t>
  </si>
  <si>
    <t>DD-20260223-0030</t>
  </si>
  <si>
    <t>5</t>
  </si>
  <si>
    <t>DD-20260227-0031</t>
  </si>
  <si>
    <t>云存储服务（1TB/年）</t>
  </si>
  <si>
    <t>DD-20260308-0037</t>
  </si>
  <si>
    <t>KH008</t>
  </si>
  <si>
    <t>南京紫金山软件园运营</t>
  </si>
  <si>
    <t>DD-20260227-0032</t>
  </si>
  <si>
    <t>2026/2/27</t>
  </si>
  <si>
    <t>DD-20260228-0033</t>
  </si>
  <si>
    <t>¥45,592.00</t>
  </si>
  <si>
    <t>DD-20260303-0034</t>
  </si>
  <si>
    <t>DD-20260306-0035</t>
  </si>
  <si>
    <t>DD-20260306-0036</t>
  </si>
  <si>
    <t>DD-20260308-0038</t>
  </si>
  <si>
    <t>DD-20260308-0039</t>
  </si>
  <si>
    <t>DD-20260310-0040</t>
  </si>
  <si>
    <t>DD-20260310-0041</t>
  </si>
  <si>
    <t>DD-20260315-0042</t>
  </si>
  <si>
    <t>KH013</t>
  </si>
  <si>
    <t>石家庄振华商贸</t>
  </si>
  <si>
    <t>DD-20260315-0043</t>
  </si>
  <si>
    <t>KH015</t>
  </si>
  <si>
    <t>佛山美的家电商贸</t>
  </si>
  <si>
    <t>DD-20260316-0044</t>
  </si>
  <si>
    <t>DD-20260316-0045</t>
  </si>
  <si>
    <t>DD-20260317-0046</t>
  </si>
  <si>
    <t>¥765.00</t>
  </si>
  <si>
    <t>DD-20260320-0047</t>
  </si>
  <si>
    <t>KH004</t>
  </si>
  <si>
    <t>深圳蓝鲸网络</t>
  </si>
  <si>
    <t>DD-20260321-0048</t>
  </si>
  <si>
    <t>KH018</t>
  </si>
  <si>
    <t>厦门鹭岛文创</t>
  </si>
  <si>
    <t>华南区</t>
  </si>
  <si>
    <t>DD-20260322-0049</t>
  </si>
  <si>
    <t>DD-20260323-0050</t>
  </si>
  <si>
    <t>DD-20260323-0051</t>
  </si>
  <si>
    <t>DD-20260329-0052</t>
  </si>
  <si>
    <t>DD-20260331-0053</t>
  </si>
  <si>
    <t xml:space="preserve"> 华东</t>
  </si>
  <si>
    <t>DD-20260402-0054</t>
  </si>
  <si>
    <t>DD-20260403-0055</t>
  </si>
  <si>
    <t>DD-20260404-0056</t>
  </si>
  <si>
    <t>DD-20260405-0057</t>
  </si>
  <si>
    <t xml:space="preserve">碎纸机 SafeCut S8 </t>
  </si>
  <si>
    <t>DD-20260405-0058</t>
  </si>
  <si>
    <t>DD-20260407-0059</t>
  </si>
  <si>
    <t>¥7,040.00</t>
  </si>
  <si>
    <t>DD-20260412-0060</t>
  </si>
  <si>
    <t>DD-20260412-0061</t>
  </si>
  <si>
    <t>DD-20260413-0062</t>
  </si>
  <si>
    <t>DD-20260413-0063</t>
  </si>
  <si>
    <t>DD-20260413-0064</t>
  </si>
  <si>
    <t xml:space="preserve"> 华北</t>
  </si>
  <si>
    <t>DD-20260418-0065</t>
  </si>
  <si>
    <t>CP002</t>
  </si>
  <si>
    <t>多功能一体机 PrintMaster 300</t>
  </si>
  <si>
    <t>6</t>
  </si>
  <si>
    <t>DD-20260418-0066</t>
  </si>
  <si>
    <t>DD-20260419-0067</t>
  </si>
  <si>
    <t>9</t>
  </si>
  <si>
    <t>DD-20260419-0068</t>
  </si>
  <si>
    <t>DD-20260419-0069</t>
  </si>
  <si>
    <t>DD-20260420-0070</t>
  </si>
  <si>
    <t>DD-20260421-0071</t>
  </si>
  <si>
    <t>DD-20260422-0072</t>
  </si>
  <si>
    <t>DD-20260423-0073</t>
  </si>
  <si>
    <t>DD-20260423-0074</t>
  </si>
  <si>
    <t>DD-20260426-0075</t>
  </si>
  <si>
    <t>¥4,495.00</t>
  </si>
  <si>
    <t>DD-20260426-0076</t>
  </si>
  <si>
    <t>CP005</t>
  </si>
  <si>
    <t>台式电脑 PowerDesk 500</t>
  </si>
  <si>
    <t>DD-20260427-0077</t>
  </si>
  <si>
    <t>DD-20260428-0078</t>
  </si>
  <si>
    <t>DD-20260428-0079</t>
  </si>
  <si>
    <t>DD-20260428-0080</t>
  </si>
  <si>
    <t>DD-20260429-0081</t>
  </si>
  <si>
    <t>DD-20260430-0082</t>
  </si>
  <si>
    <t>DD-20260501-0083</t>
  </si>
  <si>
    <t>DD-20260501-0084</t>
  </si>
  <si>
    <t>2026.5.1</t>
  </si>
  <si>
    <t>DD-20260503-0085</t>
  </si>
  <si>
    <t>34</t>
  </si>
  <si>
    <t>DD-20260503-0086</t>
  </si>
  <si>
    <t>DD-20260503-0087</t>
  </si>
  <si>
    <t>2026/5/3</t>
  </si>
  <si>
    <t>DD-20260504-0088</t>
  </si>
  <si>
    <t>DD-20260505-0089</t>
  </si>
  <si>
    <t>DD-20260506-0090</t>
  </si>
  <si>
    <t>53</t>
  </si>
  <si>
    <t>DD-20260506-0091</t>
  </si>
  <si>
    <t>DD-20260506-0092</t>
  </si>
  <si>
    <t>2026/5/6</t>
  </si>
  <si>
    <t>DD-20260506-0093</t>
  </si>
  <si>
    <t>DD-20260508-0094</t>
  </si>
  <si>
    <t>¥4,194.00</t>
  </si>
  <si>
    <t>DD-20260508-0095</t>
  </si>
  <si>
    <t>DD-20260508-0096</t>
  </si>
  <si>
    <t>2026年5月8日</t>
  </si>
  <si>
    <t>DD-20260509-0097</t>
  </si>
  <si>
    <t>2026年5月9日</t>
  </si>
  <si>
    <t>DD-20260509-0098</t>
  </si>
  <si>
    <t xml:space="preserve">华北 </t>
  </si>
  <si>
    <t>DD-20260510-0099</t>
  </si>
  <si>
    <t>10</t>
  </si>
  <si>
    <t>DD-20260511-0100</t>
  </si>
  <si>
    <t>DD-20260512-0101</t>
  </si>
  <si>
    <t>DD-20260512-0103</t>
  </si>
  <si>
    <t>DD-20260512-0104</t>
  </si>
  <si>
    <t>2026.5.12</t>
  </si>
  <si>
    <t>DD-20260603-0126</t>
  </si>
  <si>
    <t>DD-20260513-0105</t>
  </si>
  <si>
    <t>DD-20260514-0106</t>
  </si>
  <si>
    <t>97</t>
  </si>
  <si>
    <t>DD-20260514-0107</t>
  </si>
  <si>
    <t>DD-20260515-0108</t>
  </si>
  <si>
    <t>¥8,832.00</t>
  </si>
  <si>
    <t>DD-20260518-0109</t>
  </si>
  <si>
    <t>2026年5月18日</t>
  </si>
  <si>
    <t>DD-20260520-0110</t>
  </si>
  <si>
    <t>DD-20260521-0111</t>
  </si>
  <si>
    <t>2026年5月21日</t>
  </si>
  <si>
    <t>DD-20260521-0112</t>
  </si>
  <si>
    <t>DD-20260522-0113</t>
  </si>
  <si>
    <t>DD-20260523-0114</t>
  </si>
  <si>
    <t>DD-20260523-0115</t>
  </si>
  <si>
    <t>DD-20260523-0116</t>
  </si>
  <si>
    <t>2026年5月23日</t>
  </si>
  <si>
    <t>DD-20260524-0117</t>
  </si>
  <si>
    <t>¥9,240.00</t>
  </si>
  <si>
    <t>DD-20260525-0118</t>
  </si>
  <si>
    <t>DD-20260527-0119</t>
  </si>
  <si>
    <t>2026.5.27</t>
  </si>
  <si>
    <t>DD-20260528-0120</t>
  </si>
  <si>
    <t xml:space="preserve"> 华中</t>
  </si>
  <si>
    <t>68</t>
  </si>
  <si>
    <t>DD-20260528-0121</t>
  </si>
  <si>
    <t>DD-20260530-0122</t>
  </si>
  <si>
    <t>DD-20260726-0172</t>
  </si>
  <si>
    <t>DD-20260531-0123</t>
  </si>
  <si>
    <t>DD-20260602-0124</t>
  </si>
  <si>
    <t>DD-20260603-0125</t>
  </si>
  <si>
    <t xml:space="preserve">多功能一体机 PrintMaster 300 </t>
  </si>
  <si>
    <t>DD-20260607-0127</t>
  </si>
  <si>
    <t>DD-20260609-0128</t>
  </si>
  <si>
    <t>DD-20260609-0129</t>
  </si>
  <si>
    <t>DD-20260610-0130</t>
  </si>
  <si>
    <t>DD-20260613-0131</t>
  </si>
  <si>
    <t>DD-20260615-0132</t>
  </si>
  <si>
    <t xml:space="preserve">激光硒鼓 TonerMax 12A </t>
  </si>
  <si>
    <t>DD-20260615-0133</t>
  </si>
  <si>
    <t>¥27,335.00</t>
  </si>
  <si>
    <t>DD-20260615-0134</t>
  </si>
  <si>
    <t>DD-20260616-0135</t>
  </si>
  <si>
    <t>DD-20260617-0136</t>
  </si>
  <si>
    <t>DD-20260619-0137</t>
  </si>
  <si>
    <t>DD-20260621-0138</t>
  </si>
  <si>
    <t>¥5,592.00</t>
  </si>
  <si>
    <t>DD-20260621-0139</t>
  </si>
  <si>
    <t>DD-20260622-0140</t>
  </si>
  <si>
    <t>3</t>
  </si>
  <si>
    <t>DD-20260623-0141</t>
  </si>
  <si>
    <t>DD-20260625-0142</t>
  </si>
  <si>
    <t xml:space="preserve">激光打印机 ProLaser 200 </t>
  </si>
  <si>
    <t>DD-20260626-0143</t>
  </si>
  <si>
    <t>DD-20260627-0144</t>
  </si>
  <si>
    <t>DD-20260628-0145</t>
  </si>
  <si>
    <t xml:space="preserve">华中 </t>
  </si>
  <si>
    <t>DD-20260629-0146</t>
  </si>
  <si>
    <t>2026.6.29</t>
  </si>
  <si>
    <t>DD-20260630-0147</t>
  </si>
  <si>
    <t>DD-20260630-0148</t>
  </si>
  <si>
    <t>DD-20260701-0149</t>
  </si>
  <si>
    <t>DD-20260702-0150</t>
  </si>
  <si>
    <t>2026.7.2</t>
  </si>
  <si>
    <t>DD-20260703-0151</t>
  </si>
  <si>
    <t>DD-20260703-0153</t>
  </si>
  <si>
    <t>DD-20260705-0154</t>
  </si>
  <si>
    <t>DD-20260706-0155</t>
  </si>
  <si>
    <t>85</t>
  </si>
  <si>
    <t>DD-20260707-0156</t>
  </si>
  <si>
    <t>2026.7.7</t>
  </si>
  <si>
    <t>DD-20260710-0157</t>
  </si>
  <si>
    <t>2026/7/10</t>
  </si>
  <si>
    <t xml:space="preserve"> 西南</t>
  </si>
  <si>
    <t>DD-20260712-0158</t>
  </si>
  <si>
    <t>DD-20260712-0159</t>
  </si>
  <si>
    <t>DD-20260716-0160</t>
  </si>
  <si>
    <t>DD-20260716-0161</t>
  </si>
  <si>
    <t>¥1,495.00</t>
  </si>
  <si>
    <t>DD-20260716-0162</t>
  </si>
  <si>
    <t>DD-20260717-0163</t>
  </si>
  <si>
    <t>¥18,174.00</t>
  </si>
  <si>
    <t>DD-20260718-0164</t>
  </si>
  <si>
    <t>2026.7.18</t>
  </si>
  <si>
    <t>DD-20260720-0165</t>
  </si>
  <si>
    <t>DD-20260720-0166</t>
  </si>
  <si>
    <t>2026年7月20日</t>
  </si>
  <si>
    <t>DD-20260724-0167</t>
  </si>
  <si>
    <t>DD-20260725-0168</t>
  </si>
  <si>
    <t>DD-20260725-0169</t>
  </si>
  <si>
    <t>DD-20260726-0170</t>
  </si>
  <si>
    <t>2026年7月26日</t>
  </si>
  <si>
    <t>DD-20260726-0171</t>
  </si>
  <si>
    <t>DD-20260726-0173</t>
  </si>
  <si>
    <t>2026.7.26</t>
  </si>
  <si>
    <t>DD-20260727-0174</t>
  </si>
  <si>
    <t>DD-20260728-0175</t>
  </si>
  <si>
    <t>2026.7.28</t>
  </si>
  <si>
    <t>DD-20260729-0176</t>
  </si>
  <si>
    <t>DD-20260729-0177</t>
  </si>
  <si>
    <t>DD-20260731-0178</t>
  </si>
  <si>
    <t>2026年7月31日</t>
  </si>
  <si>
    <t>DD-20260801-0179</t>
  </si>
  <si>
    <t>DD-20260801-0180</t>
  </si>
  <si>
    <t>DD-20260804-0181</t>
  </si>
  <si>
    <t>DD-20260804-0182</t>
  </si>
  <si>
    <t>DD-20260805-0183</t>
  </si>
  <si>
    <t>DD-20260806-0184</t>
  </si>
  <si>
    <t>7</t>
  </si>
  <si>
    <t>DD-20260806-0185</t>
  </si>
  <si>
    <t>DD-20260809-0186</t>
  </si>
  <si>
    <t>DD-20260810-0187</t>
  </si>
  <si>
    <t>2026/8/10</t>
  </si>
  <si>
    <t>DD-20260811-0188</t>
  </si>
  <si>
    <t>DD-20260813-0189</t>
  </si>
  <si>
    <t>2026/8/13</t>
  </si>
  <si>
    <t>DD-20260813-0190</t>
  </si>
  <si>
    <t>DD-20260814-0191</t>
  </si>
  <si>
    <t>DD-20260815-0192</t>
  </si>
  <si>
    <t>DD-20260815-0193</t>
  </si>
  <si>
    <t xml:space="preserve">华南 </t>
  </si>
  <si>
    <t>DD-20260815-0194</t>
  </si>
  <si>
    <t>DD-20260815-0195</t>
  </si>
  <si>
    <t>DD-20260817-0197</t>
  </si>
  <si>
    <t>DD-20260817-0198</t>
  </si>
  <si>
    <t>DD-20260818-0199</t>
  </si>
  <si>
    <t>DD-20260820-0200</t>
  </si>
  <si>
    <t>¥9,996.00</t>
  </si>
  <si>
    <t>客户主数据（20家）</t>
  </si>
  <si>
    <t>客户等级：A=重点客户 B=普通客户 C=小额客户。查找练习的标准数据源。</t>
  </si>
  <si>
    <t>所属区域</t>
  </si>
  <si>
    <t>所属行业</t>
  </si>
  <si>
    <t>客户等级</t>
  </si>
  <si>
    <t>信用额度(万元)</t>
  </si>
  <si>
    <t>账期(天)</t>
  </si>
  <si>
    <t>合作起始日期</t>
  </si>
  <si>
    <t>互联网</t>
  </si>
  <si>
    <t>A</t>
  </si>
  <si>
    <t>零售</t>
  </si>
  <si>
    <t>B</t>
  </si>
  <si>
    <t>教育</t>
  </si>
  <si>
    <t>C</t>
  </si>
  <si>
    <t>制造业</t>
  </si>
  <si>
    <t>文化传媒</t>
  </si>
  <si>
    <t>物流</t>
  </si>
  <si>
    <t>产品主数据（12个）</t>
  </si>
  <si>
    <t>毛利计算数据源：毛利 = 标准单价 × 数量 − 单位成本 × 数量（结合折扣另算，见题目）。</t>
  </si>
  <si>
    <t>类别</t>
  </si>
  <si>
    <t>标准单价(元)</t>
  </si>
  <si>
    <t>单位成本(元)</t>
  </si>
  <si>
    <t>供应商</t>
  </si>
  <si>
    <t>办公设备</t>
  </si>
  <si>
    <t>惠普商用分销</t>
  </si>
  <si>
    <t>佳能(中国)</t>
  </si>
  <si>
    <t>得力集团</t>
  </si>
  <si>
    <t>电子数码</t>
  </si>
  <si>
    <t>联想授权经销商</t>
  </si>
  <si>
    <t>戴尔金牌店</t>
  </si>
  <si>
    <t>罗技分销</t>
  </si>
  <si>
    <t>办公耗材</t>
  </si>
  <si>
    <t>格之格</t>
  </si>
  <si>
    <t>晨光文具</t>
  </si>
  <si>
    <t>软件服务</t>
  </si>
  <si>
    <t>金山软件</t>
  </si>
  <si>
    <t>阿里云渠道</t>
  </si>
  <si>
    <t>数量折扣阶梯表</t>
  </si>
  <si>
    <t>VLOOKUP 近似匹配（第4参数TRUE）练习用。注意：首列必须升序排列才能正确匹配。</t>
  </si>
  <si>
    <t>数量下限(件)</t>
  </si>
  <si>
    <t>折扣率</t>
  </si>
  <si>
    <t>说明</t>
  </si>
  <si>
    <t>1~9件 按原价</t>
  </si>
  <si>
    <t>10~49件 95折</t>
  </si>
  <si>
    <t>50~99件 9折</t>
  </si>
  <si>
    <t>100件及以上 85折</t>
  </si>
  <si>
    <t>2026年1-8月 各区域销售目标（元）</t>
  </si>
  <si>
    <t>完成率练习：实际 = 清洗后订单表按区域汇总金额；是否剔除「已取消」订单由自己定口径并说明。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</si>
  <si>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</si>
  <si>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</si>
  <si>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</si>
  <si>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</si>
  <si>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</si>
  <si>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</si>
  <si>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</si>
  <si>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</si>
  <si>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合计</t>
  </si>
  <si>
    <t>总计</t>
  </si>
  <si>
    <t xml:space="preserve"> 华南</t>
    <phoneticPr fontId="6" type="noConversion"/>
  </si>
  <si>
    <t>2026.2.21</t>
    <phoneticPr fontId="6" type="noConversion"/>
  </si>
  <si>
    <t>区域</t>
    <phoneticPr fontId="6" type="noConversion"/>
  </si>
  <si>
    <t>金额(元)</t>
    <phoneticPr fontId="6" type="noConversion"/>
  </si>
  <si>
    <t>金额(修正后)</t>
    <phoneticPr fontId="6" type="noConversion"/>
  </si>
  <si>
    <t>单价(元)</t>
    <phoneticPr fontId="6" type="noConversion"/>
  </si>
  <si>
    <t>数量</t>
    <phoneticPr fontId="6" type="noConversion"/>
  </si>
  <si>
    <t>订单状态</t>
    <phoneticPr fontId="6" type="noConversion"/>
  </si>
  <si>
    <t>KH010</t>
    <phoneticPr fontId="6" type="noConversion"/>
  </si>
  <si>
    <t>KH003</t>
    <phoneticPr fontId="6" type="noConversion"/>
  </si>
  <si>
    <t>客户名称(修正后)</t>
    <phoneticPr fontId="6" type="noConversion"/>
  </si>
  <si>
    <t>下单日期(修正后)</t>
    <phoneticPr fontId="6" type="noConversion"/>
  </si>
  <si>
    <t>区域(修正后)</t>
    <phoneticPr fontId="6" type="noConversion"/>
  </si>
  <si>
    <t>行标签</t>
  </si>
  <si>
    <t>(空白)</t>
  </si>
  <si>
    <t>计数项:订单编号</t>
  </si>
  <si>
    <t>用户登记（修正后）</t>
  </si>
  <si>
    <t>用户登记（修正后）</t>
    <phoneticPr fontId="6" type="noConversion"/>
  </si>
  <si>
    <t>修正后</t>
  </si>
  <si>
    <t>修正后</t>
    <phoneticPr fontId="6" type="noConversion"/>
  </si>
  <si>
    <t>区域(修正后)</t>
  </si>
  <si>
    <t>折扣(修正后)</t>
  </si>
  <si>
    <t>折扣(修正后)</t>
    <phoneticPr fontId="6" type="noConversion"/>
  </si>
  <si>
    <t>客户ID</t>
    <phoneticPr fontId="6" type="noConversion"/>
  </si>
  <si>
    <t>客户名称(修正后)</t>
  </si>
  <si>
    <t>客户ID(修正后)</t>
  </si>
  <si>
    <t>客户ID(修正后)</t>
    <phoneticPr fontId="6" type="noConversion"/>
  </si>
  <si>
    <t>日期</t>
  </si>
  <si>
    <t>日期</t>
    <phoneticPr fontId="6" type="noConversion"/>
  </si>
  <si>
    <t>流水号</t>
  </si>
  <si>
    <t>流水号</t>
    <phoneticPr fontId="6" type="noConversion"/>
  </si>
  <si>
    <t>应收金额</t>
  </si>
  <si>
    <t>应收金额</t>
    <phoneticPr fontId="6" type="noConversion"/>
  </si>
  <si>
    <t>0007</t>
  </si>
  <si>
    <t>0010</t>
  </si>
  <si>
    <t>0014</t>
  </si>
  <si>
    <t>0015</t>
  </si>
  <si>
    <t>2026-01-09</t>
  </si>
  <si>
    <t>2026-01-20</t>
  </si>
  <si>
    <t>2026-01-25</t>
  </si>
  <si>
    <t>2026-01-26</t>
  </si>
  <si>
    <t>1月</t>
  </si>
  <si>
    <t>2月</t>
  </si>
  <si>
    <t>3月</t>
  </si>
  <si>
    <t>4月</t>
  </si>
  <si>
    <t>5月</t>
  </si>
  <si>
    <t>6月</t>
  </si>
  <si>
    <t>7月</t>
  </si>
  <si>
    <t>8月</t>
  </si>
  <si>
    <t>求和项:金额(修正后)</t>
  </si>
  <si>
    <t>产品类别</t>
    <phoneticPr fontId="6" type="noConversion"/>
  </si>
  <si>
    <t>平均值项:金额(修正后)</t>
  </si>
  <si>
    <t>列标签</t>
  </si>
  <si>
    <t>成本</t>
    <phoneticPr fontId="6" type="noConversion"/>
  </si>
  <si>
    <t>毛利率</t>
    <phoneticPr fontId="6" type="noConversion"/>
  </si>
  <si>
    <t>下单日期(修正后)</t>
  </si>
  <si>
    <t>字段8</t>
  </si>
  <si>
    <t>单价(元)</t>
  </si>
  <si>
    <t>数量</t>
  </si>
  <si>
    <t>金额(元)</t>
  </si>
  <si>
    <t>金额(修正后)</t>
  </si>
  <si>
    <t>订单状态</t>
  </si>
  <si>
    <t>求和项:金额(修正后) - 区域(修正后): 华北, 月(日期): Jan 的详细信息</t>
  </si>
  <si>
    <t>1月 汇总</t>
  </si>
  <si>
    <t>2月 汇总</t>
  </si>
  <si>
    <t>3月 汇总</t>
  </si>
  <si>
    <t>4月 汇总</t>
  </si>
  <si>
    <t>5月 汇总</t>
  </si>
  <si>
    <t>6月 汇总</t>
  </si>
  <si>
    <t>7月 汇总</t>
  </si>
  <si>
    <t>8月 汇总</t>
  </si>
  <si>
    <t>月(日期)</t>
  </si>
  <si>
    <t>求和项:金额(修正后)2</t>
  </si>
  <si>
    <t>实际金额</t>
    <phoneticPr fontId="6" type="noConversion"/>
  </si>
  <si>
    <t>目标金额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</si>
</sst>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¥&quot;#,##0.00;[Red]&quot;¥&quot;\-#,##0.00"/>
    <numFmt numFmtId="176" formatCode="yyyy\-mm\-dd"/>
    <numFmt numFmtId="177" formatCode="\¥#,##0.00"/>
    <numFmt numFmtId="178" formatCode="\¥#,##0"/>
  </numFmts>
  <fonts count="8">
    <font>
      <sz val="11"/>
      <color theme="1"/>
      <name val="宋体"/>
      <family val="2"/>
      <scheme val="minor"/>
    </font>
    <font>
      <b/>
      <sz val="14"/>
      <color rgb="FF1F3864"/>
      <name val="微软雅黑"/>
      <family val="2"/>
      <charset val="134"/>
    </font>
    <font>
      <i/>
      <sz val="9"/>
      <color rgb="FF7F7F7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4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7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77" fontId="4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" fontId="4" fillId="3" borderId="1" xfId="0" applyNumberFormat="1" applyFont="1" applyFill="1" applyBorder="1" applyAlignment="1">
      <alignment horizontal="right" vertical="center"/>
    </xf>
    <xf numFmtId="1" fontId="4" fillId="4" borderId="1" xfId="0" applyNumberFormat="1" applyFont="1" applyFill="1" applyBorder="1" applyAlignment="1">
      <alignment horizontal="right" vertical="center"/>
    </xf>
    <xf numFmtId="9" fontId="4" fillId="3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/>
    <xf numFmtId="178" fontId="5" fillId="4" borderId="2" xfId="0" applyNumberFormat="1" applyFont="1" applyFill="1" applyBorder="1" applyAlignment="1">
      <alignment horizontal="right"/>
    </xf>
    <xf numFmtId="8" fontId="4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3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14" fontId="4" fillId="3" borderId="1" xfId="0" applyNumberFormat="1" applyFont="1" applyFill="1" applyBorder="1" applyAlignment="1">
      <alignment horizontal="left" vertical="center"/>
    </xf>
    <xf numFmtId="10" fontId="0" fillId="0" borderId="0" xfId="0" applyNumberFormat="1"/>
    <xf numFmtId="10" fontId="3" fillId="2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7" fillId="0" borderId="0" xfId="0" applyFont="1"/>
    <xf numFmtId="177" fontId="0" fillId="0" borderId="0" xfId="0" applyNumberFormat="1"/>
    <xf numFmtId="17" fontId="0" fillId="0" borderId="0" xfId="0" applyNumberFormat="1"/>
  </cellXfs>
  <cellStyles count="1">
    <cellStyle name="常规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9" formatCode="yyyy/m/d"/>
    </dxf>
    <dxf>
      <numFmt numFmtId="19" formatCode="yyyy/m/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[Excel面试实操题库 - 副本 (version 2).xlsx]Sheet5!数据透视表24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求和项</a:t>
            </a:r>
            <a:r>
              <a:rPr lang="en-US" altLang="zh-CN"/>
              <a:t>:</a:t>
            </a:r>
            <a:r>
              <a:rPr lang="zh-CN" altLang="en-US"/>
              <a:t>折扣</a:t>
            </a:r>
            <a:r>
              <a:rPr lang="en-US" altLang="zh-CN"/>
              <a:t>(</a:t>
            </a:r>
            <a:r>
              <a:rPr lang="zh-CN" altLang="en-US"/>
              <a:t>修正后</a:t>
            </a:r>
            <a:r>
              <a:rPr lang="en-US" altLang="zh-CN"/>
              <a:t>)</a:t>
            </a:r>
            <a:r>
              <a:rPr lang="zh-CN" altLang="en-US"/>
              <a:t>，按  区域</a:t>
            </a:r>
            <a:r>
              <a:rPr lang="en-US" altLang="zh-CN"/>
              <a:t>(</a:t>
            </a:r>
            <a:r>
              <a:rPr lang="zh-CN" altLang="en-US"/>
              <a:t>修正后</a:t>
            </a:r>
            <a:r>
              <a:rPr lang="en-US" altLang="zh-C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求和项:金额(修正后)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Sheet5!$A$4:$A$11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Sheet5!$B$4:$B$11</c:f>
              <c:numCache>
                <c:formatCode>\¥#,##0.00</c:formatCode>
                <c:ptCount val="8"/>
                <c:pt idx="0">
                  <c:v>161324</c:v>
                </c:pt>
                <c:pt idx="1">
                  <c:v>235656</c:v>
                </c:pt>
                <c:pt idx="2">
                  <c:v>321219</c:v>
                </c:pt>
                <c:pt idx="3">
                  <c:v>407561</c:v>
                </c:pt>
                <c:pt idx="4">
                  <c:v>699396</c:v>
                </c:pt>
                <c:pt idx="5">
                  <c:v>390909</c:v>
                </c:pt>
                <c:pt idx="6">
                  <c:v>443561</c:v>
                </c:pt>
                <c:pt idx="7">
                  <c:v>321701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B-40F6-886E-91E74C6DD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5742095"/>
        <c:axId val="1424568848"/>
      </c:barChart>
      <c:lineChart>
        <c:grouping val="standard"/>
        <c:varyColors val="0"/>
        <c:ser>
          <c:idx val="1"/>
          <c:order val="1"/>
          <c:tx>
            <c:strRef>
              <c:f>Sheet5!$C$3</c:f>
              <c:strCache>
                <c:ptCount val="1"/>
                <c:pt idx="0">
                  <c:v>求和项:金额(修正后)2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Sheet5!$A$4:$A$11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Sheet5!$C$4:$C$11</c:f>
              <c:numCache>
                <c:formatCode>0.00%</c:formatCode>
                <c:ptCount val="8"/>
                <c:pt idx="1">
                  <c:v>0.46076219285413206</c:v>
                </c:pt>
                <c:pt idx="2">
                  <c:v>0.36308432630614118</c:v>
                </c:pt>
                <c:pt idx="3">
                  <c:v>0.26879480977152659</c:v>
                </c:pt>
                <c:pt idx="4">
                  <c:v>0.71605232100225491</c:v>
                </c:pt>
                <c:pt idx="5">
                  <c:v>-0.44107630012181942</c:v>
                </c:pt>
                <c:pt idx="6">
                  <c:v>0.13469119411423119</c:v>
                </c:pt>
                <c:pt idx="7">
                  <c:v>-0.27473109673754004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1B-40F6-886E-91E74C6DD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272799"/>
        <c:axId val="818564943"/>
      </c:lineChart>
      <c:catAx>
        <c:axId val="825742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568848"/>
        <c:crosses val="autoZero"/>
        <c:auto val="1"/>
        <c:lblAlgn val="ctr"/>
        <c:lblOffset val="100"/>
        <c:noMultiLvlLbl val="0"/>
      </c:catAx>
      <c:valAx>
        <c:axId val="142456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¥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5742095"/>
        <c:crosses val="autoZero"/>
        <c:crossBetween val="between"/>
      </c:valAx>
      <c:valAx>
        <c:axId val="81856494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1272799"/>
        <c:crosses val="max"/>
        <c:crossBetween val="between"/>
      </c:valAx>
      <c:catAx>
        <c:axId val="891272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85649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279400</xdr:colOff>
      <xdr:row>12</xdr:row>
      <xdr:rowOff>101600</xdr:rowOff>
    </xdr:from>
    <xdr:to>
      <xdr:col>7</xdr:col>
      <xdr:colOff>546100</xdr:colOff>
      <xdr:row>25</xdr:row>
      <xdr:rowOff>123822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订单状态">
              <a:extLst>
                <a:ext uri="{FF2B5EF4-FFF2-40B4-BE49-F238E27FC236}">
                  <a16:creationId xmlns:a16="http://schemas.microsoft.com/office/drawing/2014/main" id="{35917553-62EF-749D-C558-324B3606F7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订单状态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9700" y="2235200"/>
              <a:ext cx="1828800" cy="2333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336550</xdr:colOff>
      <xdr:row>35</xdr:row>
      <xdr:rowOff>25400</xdr:rowOff>
    </xdr:from>
    <xdr:to>
      <xdr:col>13</xdr:col>
      <xdr:colOff>603250</xdr:colOff>
      <xdr:row>48</xdr:row>
      <xdr:rowOff>47622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订单状态 1">
              <a:extLst>
                <a:ext uri="{FF2B5EF4-FFF2-40B4-BE49-F238E27FC236}">
                  <a16:creationId xmlns:a16="http://schemas.microsoft.com/office/drawing/2014/main" id="{37815CA0-56D1-50E3-9F3F-28273A192D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订单状态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3150" y="6248400"/>
              <a:ext cx="1828800" cy="2333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682625</xdr:colOff>
      <xdr:row>12</xdr:row>
      <xdr:rowOff>101600</xdr:rowOff>
    </xdr:from>
    <xdr:to>
      <xdr:col>6</xdr:col>
      <xdr:colOff>111125</xdr:colOff>
      <xdr:row>28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C284B28-12DC-1318-A4C7-58B0A8E35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  <xdr:twoCellAnchor editAs="oneCell">
    <xdr:from>
      <xdr:col>12</xdr:col>
      <xdr:colOff>107950</xdr:colOff>
      <xdr:row>9</xdr:row>
      <xdr:rowOff>6350</xdr:rowOff>
    </xdr:from>
    <xdr:to>
      <xdr:col>15</xdr:col>
      <xdr:colOff>107950</xdr:colOff>
      <xdr:row>22</xdr:row>
      <xdr:rowOff>28572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订单状态 2">
              <a:extLst>
                <a:ext uri="{FF2B5EF4-FFF2-40B4-BE49-F238E27FC236}">
                  <a16:creationId xmlns:a16="http://schemas.microsoft.com/office/drawing/2014/main" id="{DF08B94E-E140-6C56-3D8A-9B879B8FC9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订单状态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5600" y="1987550"/>
              <a:ext cx="1828800" cy="2333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isgirl" refreshedDate="46256.57043900463" createdVersion="8" refreshedVersion="8" minRefreshableVersion="3" recordCount="404" xr:uid="{0F557CDC-C83C-4073-9BB9-9090446EEBD5}">
  <cacheSource type="worksheet">
    <worksheetSource ref="A1:W1048576" sheet="订单表_原始"/>
  </cacheSource>
  <cacheFields count="23">
    <cacheField name="订单编号" numFmtId="0">
      <sharedItems containsBlank="1" count="201">
        <s v="DD-20260101-0001"/>
        <s v="DD-20260103-0002"/>
        <s v="DD-20260103-0003"/>
        <s v="DD-20260107-0004"/>
        <s v="DD-20260107-0005"/>
        <s v="DD-20260109-0006"/>
        <s v="DD-20260109-0007"/>
        <s v="DD-20260113-0008"/>
        <s v="DD-20260117-0009"/>
        <s v="DD-20260120-0010"/>
        <s v="DD-20260121-0011"/>
        <s v="DD-20260123-0012"/>
        <s v="DD-20260124-0013"/>
        <s v="DD-20260125-0014"/>
        <s v="DD-20260126-0015"/>
        <s v="DD-20260816-0196"/>
        <s v="DD-20260126-0016"/>
        <s v="DD-20260127-0017"/>
        <s v="DD-20260127-0018"/>
        <s v="DD-20260129-0019"/>
        <s v="DD-20260130-0020"/>
        <s v="DD-20260131-0021"/>
        <s v="DD-20260201-0022"/>
        <s v="DD-20260203-0023"/>
        <s v="DD-20260206-0024"/>
        <s v="DD-20260703-0152"/>
        <s v="DD-20260206-0025"/>
        <s v="DD-20260208-0026"/>
        <s v="DD-20260216-0027"/>
        <s v="DD-20260221-0028"/>
        <s v="DD-20260221-0029"/>
        <s v="DD-20260512-0102"/>
        <s v="DD-20260223-0030"/>
        <s v="DD-20260227-0031"/>
        <s v="DD-20260308-0037"/>
        <s v="DD-20260227-0032"/>
        <s v="DD-20260228-0033"/>
        <s v="DD-20260303-0034"/>
        <s v="DD-20260306-0035"/>
        <s v="DD-20260306-0036"/>
        <s v="DD-20260308-0038"/>
        <s v="DD-20260308-0039"/>
        <s v="DD-20260310-0040"/>
        <s v="DD-20260310-0041"/>
        <s v="DD-20260315-0042"/>
        <s v="DD-20260315-0043"/>
        <s v="DD-20260316-0044"/>
        <s v="DD-20260316-0045"/>
        <s v="DD-20260317-0046"/>
        <s v="DD-20260320-0047"/>
        <s v="DD-20260321-0048"/>
        <s v="DD-20260322-0049"/>
        <s v="DD-20260323-0050"/>
        <s v="DD-20260323-0051"/>
        <s v="DD-20260329-0052"/>
        <s v="DD-20260331-0053"/>
        <s v="DD-20260402-0054"/>
        <s v="DD-20260403-0055"/>
        <s v="DD-20260404-0056"/>
        <s v="DD-20260405-0057"/>
        <s v="DD-20260405-0058"/>
        <s v="DD-20260407-0059"/>
        <s v="DD-20260412-0060"/>
        <s v="DD-20260412-0061"/>
        <s v="DD-20260413-0062"/>
        <s v="DD-20260413-0063"/>
        <s v="DD-20260413-0064"/>
        <s v="DD-20260418-0065"/>
        <s v="DD-20260418-0066"/>
        <s v="DD-20260419-0067"/>
        <s v="DD-20260419-0068"/>
        <s v="DD-20260419-0069"/>
        <s v="DD-20260420-0070"/>
        <s v="DD-20260421-0071"/>
        <s v="DD-20260422-0072"/>
        <s v="DD-20260423-0073"/>
        <s v="DD-20260423-0074"/>
        <s v="DD-20260426-0075"/>
        <s v="DD-20260426-0076"/>
        <s v="DD-20260427-0077"/>
        <s v="DD-20260428-0078"/>
        <s v="DD-20260428-0079"/>
        <s v="DD-20260428-0080"/>
        <s v="DD-20260429-0081"/>
        <s v="DD-20260430-0082"/>
        <s v="DD-20260501-0083"/>
        <s v="DD-20260501-0084"/>
        <s v="DD-20260503-0085"/>
        <s v="DD-20260503-0086"/>
        <s v="DD-20260503-0087"/>
        <s v="DD-20260504-0088"/>
        <s v="DD-20260505-0089"/>
        <s v="DD-20260506-0090"/>
        <s v="DD-20260506-0091"/>
        <s v="DD-20260506-0092"/>
        <s v="DD-20260506-0093"/>
        <s v="DD-20260508-0094"/>
        <s v="DD-20260508-0095"/>
        <s v="DD-20260508-0096"/>
        <s v="DD-20260509-0097"/>
        <s v="DD-20260509-0098"/>
        <s v="DD-20260510-0099"/>
        <s v="DD-20260511-0100"/>
        <s v="DD-20260512-0101"/>
        <s v="DD-20260512-0103"/>
        <s v="DD-20260512-0104"/>
        <s v="DD-20260603-0126"/>
        <s v="DD-20260513-0105"/>
        <s v="DD-20260514-0106"/>
        <s v="DD-20260514-0107"/>
        <s v="DD-20260515-0108"/>
        <s v="DD-20260518-0109"/>
        <s v="DD-20260520-0110"/>
        <s v="DD-20260521-0111"/>
        <s v="DD-20260521-0112"/>
        <s v="DD-20260522-0113"/>
        <s v="DD-20260523-0114"/>
        <s v="DD-20260523-0115"/>
        <s v="DD-20260523-0116"/>
        <s v="DD-20260524-0117"/>
        <s v="DD-20260525-0118"/>
        <s v="DD-20260527-0119"/>
        <s v="DD-20260528-0120"/>
        <s v="DD-20260528-0121"/>
        <s v="DD-20260530-0122"/>
        <s v="DD-20260726-0172"/>
        <s v="DD-20260531-0123"/>
        <s v="DD-20260602-0124"/>
        <s v="DD-20260603-0125"/>
        <s v="DD-20260607-0127"/>
        <s v="DD-20260609-0128"/>
        <s v="DD-20260609-0129"/>
        <s v="DD-20260610-0130"/>
        <s v="DD-20260613-0131"/>
        <s v="DD-20260615-0132"/>
        <s v="DD-20260615-0133"/>
        <s v="DD-20260615-0134"/>
        <s v="DD-20260616-0135"/>
        <s v="DD-20260617-0136"/>
        <s v="DD-20260619-0137"/>
        <s v="DD-20260621-0138"/>
        <s v="DD-20260621-0139"/>
        <s v="DD-20260622-0140"/>
        <s v="DD-20260623-0141"/>
        <s v="DD-20260625-0142"/>
        <s v="DD-20260626-0143"/>
        <s v="DD-20260627-0144"/>
        <s v="DD-20260628-0145"/>
        <s v="DD-20260629-0146"/>
        <s v="DD-20260630-0147"/>
        <s v="DD-20260630-0148"/>
        <s v="DD-20260701-0149"/>
        <s v="DD-20260702-0150"/>
        <s v="DD-20260703-0151"/>
        <s v="DD-20260703-0153"/>
        <s v="DD-20260705-0154"/>
        <s v="DD-20260706-0155"/>
        <s v="DD-20260707-0156"/>
        <s v="DD-20260710-0157"/>
        <s v="DD-20260712-0158"/>
        <s v="DD-20260712-0159"/>
        <s v="DD-20260716-0160"/>
        <s v="DD-20260716-0161"/>
        <s v="DD-20260716-0162"/>
        <s v="DD-20260717-0163"/>
        <s v="DD-20260718-0164"/>
        <s v="DD-20260720-0165"/>
        <s v="DD-20260720-0166"/>
        <s v="DD-20260724-0167"/>
        <s v="DD-20260725-0168"/>
        <s v="DD-20260725-0169"/>
        <s v="DD-20260726-0170"/>
        <s v="DD-20260726-0171"/>
        <s v="DD-20260726-0173"/>
        <s v="DD-20260727-0174"/>
        <s v="DD-20260728-0175"/>
        <s v="DD-20260729-0176"/>
        <s v="DD-20260729-0177"/>
        <s v="DD-20260731-0178"/>
        <s v="DD-20260801-0179"/>
        <s v="DD-20260801-0180"/>
        <s v="DD-20260804-0181"/>
        <s v="DD-20260804-0182"/>
        <s v="DD-20260805-0183"/>
        <s v="DD-20260806-0184"/>
        <s v="DD-20260806-0185"/>
        <s v="DD-20260809-0186"/>
        <s v="DD-20260810-0187"/>
        <s v="DD-20260811-0188"/>
        <s v="DD-20260813-0189"/>
        <s v="DD-20260813-0190"/>
        <s v="DD-20260814-0191"/>
        <s v="DD-20260815-0192"/>
        <s v="DD-20260815-0193"/>
        <s v="DD-20260815-0194"/>
        <s v="DD-20260815-0195"/>
        <s v="DD-20260817-0197"/>
        <s v="DD-20260817-0198"/>
        <s v="DD-20260818-0199"/>
        <s v="DD-20260820-0200"/>
        <m/>
      </sharedItems>
    </cacheField>
    <cacheField name="下单日期" numFmtId="0">
      <sharedItems containsDate="1" containsBlank="1" containsMixedTypes="1" minDate="2026-01-01T00:00:00" maxDate="2026-08-21T00:00:00"/>
    </cacheField>
    <cacheField name="下单日期(修正后)" numFmtId="0">
      <sharedItems containsBlank="1"/>
    </cacheField>
    <cacheField name="客户ID" numFmtId="0">
      <sharedItems containsBlank="1"/>
    </cacheField>
    <cacheField name="客户名称(修正后)" numFmtId="0">
      <sharedItems containsBlank="1"/>
    </cacheField>
    <cacheField name="客户名称" numFmtId="0">
      <sharedItems containsBlank="1"/>
    </cacheField>
    <cacheField name="客户ID(修正后)" numFmtId="0">
      <sharedItems containsBlank="1"/>
    </cacheField>
    <cacheField name="字段8" caption="字段8" numFmtId="0">
      <sharedItems containsBlank="1"/>
    </cacheField>
    <cacheField name="日期" numFmtId="0">
      <sharedItems containsNonDate="0" containsDate="1" containsString="0" containsBlank="1" minDate="2026-01-01T00:00:00" maxDate="2026-08-21T00:00:00"/>
    </cacheField>
    <cacheField name="流水号" numFmtId="0">
      <sharedItems containsBlank="1"/>
    </cacheField>
    <cacheField name="用户登记（修正后）" numFmtId="0">
      <sharedItems containsBlank="1"/>
    </cacheField>
    <cacheField name="销售员" numFmtId="0">
      <sharedItems containsBlank="1"/>
    </cacheField>
    <cacheField name="区域" numFmtId="0">
      <sharedItems containsBlank="1"/>
    </cacheField>
    <cacheField name="区域(修正后)" numFmtId="0">
      <sharedItems containsBlank="1"/>
    </cacheField>
    <cacheField name="产品编码" numFmtId="0">
      <sharedItems containsBlank="1"/>
    </cacheField>
    <cacheField name="产品名称" numFmtId="0">
      <sharedItems containsBlank="1"/>
    </cacheField>
    <cacheField name="单价(元)" numFmtId="0">
      <sharedItems containsString="0" containsBlank="1" containsNumber="1" containsInteger="1" minValue="45" maxValue="5699"/>
    </cacheField>
    <cacheField name="数量" numFmtId="0">
      <sharedItems containsBlank="1" containsMixedTypes="1" containsNumber="1" containsInteger="1" minValue="1" maxValue="120"/>
    </cacheField>
    <cacheField name="修正后" numFmtId="0">
      <sharedItems containsString="0" containsBlank="1" containsNumber="1" containsInteger="1" minValue="1" maxValue="120"/>
    </cacheField>
    <cacheField name="折扣(修正后)" numFmtId="0">
      <sharedItems containsString="0" containsBlank="1" containsNumber="1" minValue="0.85" maxValue="1"/>
    </cacheField>
    <cacheField name="金额(元)" numFmtId="0">
      <sharedItems containsBlank="1" containsMixedTypes="1" containsNumber="1" minValue="495" maxValue="74087"/>
    </cacheField>
    <cacheField name="金额(修正后)" numFmtId="0">
      <sharedItems containsString="0" containsBlank="1" containsNumber="1" containsInteger="1" minValue="495" maxValue="74087"/>
    </cacheField>
    <cacheField name="订单状态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isgirl" refreshedDate="46256.574676736112" createdVersion="8" refreshedVersion="8" minRefreshableVersion="3" recordCount="404" xr:uid="{F6C1B9B8-E3E5-42C7-8B07-897F6601A508}">
  <cacheSource type="worksheet">
    <worksheetSource ref="A1:X1048576" sheet="订单表_原始"/>
  </cacheSource>
  <cacheFields count="25">
    <cacheField name="订单编号" numFmtId="0">
      <sharedItems containsBlank="1" count="201">
        <s v="DD-20260101-0001"/>
        <s v="DD-20260103-0002"/>
        <s v="DD-20260103-0003"/>
        <s v="DD-20260107-0004"/>
        <s v="DD-20260107-0005"/>
        <s v="DD-20260109-0006"/>
        <s v="DD-20260109-0007"/>
        <s v="DD-20260113-0008"/>
        <s v="DD-20260117-0009"/>
        <s v="DD-20260120-0010"/>
        <s v="DD-20260121-0011"/>
        <s v="DD-20260123-0012"/>
        <s v="DD-20260124-0013"/>
        <s v="DD-20260125-0014"/>
        <s v="DD-20260126-0015"/>
        <s v="DD-20260816-0196"/>
        <s v="DD-20260126-0016"/>
        <s v="DD-20260127-0017"/>
        <s v="DD-20260127-0018"/>
        <s v="DD-20260129-0019"/>
        <s v="DD-20260130-0020"/>
        <s v="DD-20260131-0021"/>
        <s v="DD-20260201-0022"/>
        <s v="DD-20260203-0023"/>
        <s v="DD-20260206-0024"/>
        <s v="DD-20260703-0152"/>
        <s v="DD-20260206-0025"/>
        <s v="DD-20260208-0026"/>
        <s v="DD-20260216-0027"/>
        <s v="DD-20260221-0028"/>
        <s v="DD-20260221-0029"/>
        <s v="DD-20260512-0102"/>
        <s v="DD-20260223-0030"/>
        <s v="DD-20260227-0031"/>
        <s v="DD-20260308-0037"/>
        <s v="DD-20260227-0032"/>
        <s v="DD-20260228-0033"/>
        <s v="DD-20260303-0034"/>
        <s v="DD-20260306-0035"/>
        <s v="DD-20260306-0036"/>
        <s v="DD-20260308-0038"/>
        <s v="DD-20260308-0039"/>
        <s v="DD-20260310-0040"/>
        <s v="DD-20260310-0041"/>
        <s v="DD-20260315-0042"/>
        <s v="DD-20260315-0043"/>
        <s v="DD-20260316-0044"/>
        <s v="DD-20260316-0045"/>
        <s v="DD-20260317-0046"/>
        <s v="DD-20260320-0047"/>
        <s v="DD-20260321-0048"/>
        <s v="DD-20260322-0049"/>
        <s v="DD-20260323-0050"/>
        <s v="DD-20260323-0051"/>
        <s v="DD-20260329-0052"/>
        <s v="DD-20260331-0053"/>
        <s v="DD-20260402-0054"/>
        <s v="DD-20260403-0055"/>
        <s v="DD-20260404-0056"/>
        <s v="DD-20260405-0057"/>
        <s v="DD-20260405-0058"/>
        <s v="DD-20260407-0059"/>
        <s v="DD-20260412-0060"/>
        <s v="DD-20260412-0061"/>
        <s v="DD-20260413-0062"/>
        <s v="DD-20260413-0063"/>
        <s v="DD-20260413-0064"/>
        <s v="DD-20260418-0065"/>
        <s v="DD-20260418-0066"/>
        <s v="DD-20260419-0067"/>
        <s v="DD-20260419-0068"/>
        <s v="DD-20260419-0069"/>
        <s v="DD-20260420-0070"/>
        <s v="DD-20260421-0071"/>
        <s v="DD-20260422-0072"/>
        <s v="DD-20260423-0073"/>
        <s v="DD-20260423-0074"/>
        <s v="DD-20260426-0075"/>
        <s v="DD-20260426-0076"/>
        <s v="DD-20260427-0077"/>
        <s v="DD-20260428-0078"/>
        <s v="DD-20260428-0079"/>
        <s v="DD-20260428-0080"/>
        <s v="DD-20260429-0081"/>
        <s v="DD-20260430-0082"/>
        <s v="DD-20260501-0083"/>
        <s v="DD-20260501-0084"/>
        <s v="DD-20260503-0085"/>
        <s v="DD-20260503-0086"/>
        <s v="DD-20260503-0087"/>
        <s v="DD-20260504-0088"/>
        <s v="DD-20260505-0089"/>
        <s v="DD-20260506-0090"/>
        <s v="DD-20260506-0091"/>
        <s v="DD-20260506-0092"/>
        <s v="DD-20260506-0093"/>
        <s v="DD-20260508-0094"/>
        <s v="DD-20260508-0095"/>
        <s v="DD-20260508-0096"/>
        <s v="DD-20260509-0097"/>
        <s v="DD-20260509-0098"/>
        <s v="DD-20260510-0099"/>
        <s v="DD-20260511-0100"/>
        <s v="DD-20260512-0101"/>
        <s v="DD-20260512-0103"/>
        <s v="DD-20260512-0104"/>
        <s v="DD-20260603-0126"/>
        <s v="DD-20260513-0105"/>
        <s v="DD-20260514-0106"/>
        <s v="DD-20260514-0107"/>
        <s v="DD-20260515-0108"/>
        <s v="DD-20260518-0109"/>
        <s v="DD-20260520-0110"/>
        <s v="DD-20260521-0111"/>
        <s v="DD-20260521-0112"/>
        <s v="DD-20260522-0113"/>
        <s v="DD-20260523-0114"/>
        <s v="DD-20260523-0115"/>
        <s v="DD-20260523-0116"/>
        <s v="DD-20260524-0117"/>
        <s v="DD-20260525-0118"/>
        <s v="DD-20260527-0119"/>
        <s v="DD-20260528-0120"/>
        <s v="DD-20260528-0121"/>
        <s v="DD-20260530-0122"/>
        <s v="DD-20260726-0172"/>
        <s v="DD-20260531-0123"/>
        <s v="DD-20260602-0124"/>
        <s v="DD-20260603-0125"/>
        <s v="DD-20260607-0127"/>
        <s v="DD-20260609-0128"/>
        <s v="DD-20260609-0129"/>
        <s v="DD-20260610-0130"/>
        <s v="DD-20260613-0131"/>
        <s v="DD-20260615-0132"/>
        <s v="DD-20260615-0133"/>
        <s v="DD-20260615-0134"/>
        <s v="DD-20260616-0135"/>
        <s v="DD-20260617-0136"/>
        <s v="DD-20260619-0137"/>
        <s v="DD-20260621-0138"/>
        <s v="DD-20260621-0139"/>
        <s v="DD-20260622-0140"/>
        <s v="DD-20260623-0141"/>
        <s v="DD-20260625-0142"/>
        <s v="DD-20260626-0143"/>
        <s v="DD-20260627-0144"/>
        <s v="DD-20260628-0145"/>
        <s v="DD-20260629-0146"/>
        <s v="DD-20260630-0147"/>
        <s v="DD-20260630-0148"/>
        <s v="DD-20260701-0149"/>
        <s v="DD-20260702-0150"/>
        <s v="DD-20260703-0151"/>
        <s v="DD-20260703-0153"/>
        <s v="DD-20260705-0154"/>
        <s v="DD-20260706-0155"/>
        <s v="DD-20260707-0156"/>
        <s v="DD-20260710-0157"/>
        <s v="DD-20260712-0158"/>
        <s v="DD-20260712-0159"/>
        <s v="DD-20260716-0160"/>
        <s v="DD-20260716-0161"/>
        <s v="DD-20260716-0162"/>
        <s v="DD-20260717-0163"/>
        <s v="DD-20260718-0164"/>
        <s v="DD-20260720-0165"/>
        <s v="DD-20260720-0166"/>
        <s v="DD-20260724-0167"/>
        <s v="DD-20260725-0168"/>
        <s v="DD-20260725-0169"/>
        <s v="DD-20260726-0170"/>
        <s v="DD-20260726-0171"/>
        <s v="DD-20260726-0173"/>
        <s v="DD-20260727-0174"/>
        <s v="DD-20260728-0175"/>
        <s v="DD-20260729-0176"/>
        <s v="DD-20260729-0177"/>
        <s v="DD-20260731-0178"/>
        <s v="DD-20260801-0179"/>
        <s v="DD-20260801-0180"/>
        <s v="DD-20260804-0181"/>
        <s v="DD-20260804-0182"/>
        <s v="DD-20260805-0183"/>
        <s v="DD-20260806-0184"/>
        <s v="DD-20260806-0185"/>
        <s v="DD-20260809-0186"/>
        <s v="DD-20260810-0187"/>
        <s v="DD-20260811-0188"/>
        <s v="DD-20260813-0189"/>
        <s v="DD-20260813-0190"/>
        <s v="DD-20260814-0191"/>
        <s v="DD-20260815-0192"/>
        <s v="DD-20260815-0193"/>
        <s v="DD-20260815-0194"/>
        <s v="DD-20260815-0195"/>
        <s v="DD-20260817-0197"/>
        <s v="DD-20260817-0198"/>
        <s v="DD-20260818-0199"/>
        <s v="DD-20260820-0200"/>
        <m/>
      </sharedItems>
    </cacheField>
    <cacheField name="下单日期" numFmtId="0">
      <sharedItems containsDate="1" containsBlank="1" containsMixedTypes="1" minDate="2026-01-01T00:00:00" maxDate="2026-08-21T00:00:00" count="148">
        <d v="2026-01-01T00:00:00"/>
        <d v="2026-01-03T00:00:00"/>
        <s v="2026年1月7日"/>
        <d v="2026-01-07T00:00:00"/>
        <d v="2026-01-09T00:00:00"/>
        <d v="2026-01-13T00:00:00"/>
        <d v="2026-01-17T00:00:00"/>
        <d v="2026-01-20T00:00:00"/>
        <d v="2026-01-21T00:00:00"/>
        <d v="2026-01-23T00:00:00"/>
        <d v="2026-01-24T00:00:00"/>
        <d v="2026-01-25T00:00:00"/>
        <d v="2026-01-26T00:00:00"/>
        <d v="2026-08-16T00:00:00"/>
        <d v="2026-01-27T00:00:00"/>
        <d v="2026-01-29T00:00:00"/>
        <d v="2026-01-30T00:00:00"/>
        <d v="2026-01-31T00:00:00"/>
        <d v="2026-02-01T00:00:00"/>
        <d v="2026-02-03T00:00:00"/>
        <d v="2026-02-06T00:00:00"/>
        <d v="2026-07-03T00:00:00"/>
        <d v="2026-02-08T00:00:00"/>
        <d v="2026-02-16T00:00:00"/>
        <s v="2026.2.21"/>
        <d v="2026-02-21T00:00:00"/>
        <d v="2026-05-12T00:00:00"/>
        <d v="2026-02-23T00:00:00"/>
        <d v="2026-02-27T00:00:00"/>
        <d v="2026-03-08T00:00:00"/>
        <s v="2026/2/27"/>
        <d v="2026-02-28T00:00:00"/>
        <d v="2026-03-03T00:00:00"/>
        <d v="2026-03-06T00:00:00"/>
        <d v="2026-03-10T00:00:00"/>
        <d v="2026-03-15T00:00:00"/>
        <d v="2026-03-16T00:00:00"/>
        <d v="2026-03-17T00:00:00"/>
        <d v="2026-03-20T00:00:00"/>
        <d v="2026-03-21T00:00:00"/>
        <d v="2026-03-22T00:00:00"/>
        <d v="2026-03-23T00:00:00"/>
        <d v="2026-03-29T00:00:00"/>
        <d v="2026-03-31T00:00:00"/>
        <d v="2026-04-02T00:00:00"/>
        <d v="2026-04-03T00:00:00"/>
        <d v="2026-04-04T00:00:00"/>
        <d v="2026-04-05T00:00:00"/>
        <d v="2026-04-07T00:00:00"/>
        <d v="2026-04-12T00:00:00"/>
        <d v="2026-04-13T00:00:00"/>
        <d v="2026-04-18T00:00:00"/>
        <d v="2026-04-19T00:00:00"/>
        <d v="2026-04-20T00:00:00"/>
        <d v="2026-04-21T00:00:00"/>
        <d v="2026-04-22T00:00:00"/>
        <d v="2026-04-23T00:00:00"/>
        <d v="2026-04-26T00:00:00"/>
        <d v="2026-04-27T00:00:00"/>
        <d v="2026-04-28T00:00:00"/>
        <d v="2026-04-29T00:00:00"/>
        <d v="2026-04-30T00:00:00"/>
        <d v="2026-05-01T00:00:00"/>
        <s v="2026.5.1"/>
        <d v="2026-05-03T00:00:00"/>
        <s v="2026/5/3"/>
        <d v="2026-05-04T00:00:00"/>
        <d v="2026-05-05T00:00:00"/>
        <d v="2026-05-06T00:00:00"/>
        <s v="2026/5/6"/>
        <d v="2026-05-08T00:00:00"/>
        <s v="2026年5月8日"/>
        <s v="2026年5月9日"/>
        <d v="2026-05-09T00:00:00"/>
        <d v="2026-05-10T00:00:00"/>
        <d v="2026-05-11T00:00:00"/>
        <s v="2026.5.12"/>
        <d v="2026-06-03T00:00:00"/>
        <d v="2026-05-13T00:00:00"/>
        <d v="2026-05-14T00:00:00"/>
        <d v="2026-05-15T00:00:00"/>
        <s v="2026年5月18日"/>
        <d v="2026-05-20T00:00:00"/>
        <s v="2026年5月21日"/>
        <d v="2026-05-21T00:00:00"/>
        <d v="2026-05-22T00:00:00"/>
        <d v="2026-05-23T00:00:00"/>
        <s v="2026年5月23日"/>
        <d v="2026-05-24T00:00:00"/>
        <d v="2026-05-25T00:00:00"/>
        <s v="2026.5.27"/>
        <d v="2026-05-28T00:00:00"/>
        <d v="2026-05-30T00:00:00"/>
        <d v="2026-07-26T00:00:00"/>
        <d v="2026-05-31T00:00:00"/>
        <d v="2026-06-02T00:00:00"/>
        <d v="2026-06-07T00:00:00"/>
        <d v="2026-06-09T00:00:00"/>
        <d v="2026-06-10T00:00:00"/>
        <d v="2026-06-13T00:00:00"/>
        <d v="2026-06-15T00:00:00"/>
        <d v="2026-06-16T00:00:00"/>
        <d v="2026-06-17T00:00:00"/>
        <d v="2026-06-19T00:00:00"/>
        <d v="2026-06-21T00:00:00"/>
        <d v="2026-06-22T00:00:00"/>
        <d v="2026-06-23T00:00:00"/>
        <d v="2026-06-25T00:00:00"/>
        <d v="2026-06-26T00:00:00"/>
        <d v="2026-06-27T00:00:00"/>
        <d v="2026-06-28T00:00:00"/>
        <s v="2026.6.29"/>
        <d v="2026-06-30T00:00:00"/>
        <d v="2026-07-01T00:00:00"/>
        <s v="2026.7.2"/>
        <d v="2026-07-05T00:00:00"/>
        <d v="2026-07-06T00:00:00"/>
        <s v="2026.7.7"/>
        <s v="2026/7/10"/>
        <d v="2026-07-12T00:00:00"/>
        <d v="2026-07-16T00:00:00"/>
        <d v="2026-07-17T00:00:00"/>
        <s v="2026.7.18"/>
        <d v="2026-07-20T00:00:00"/>
        <s v="2026年7月20日"/>
        <d v="2026-07-24T00:00:00"/>
        <d v="2026-07-25T00:00:00"/>
        <s v="2026年7月26日"/>
        <s v="2026.7.26"/>
        <d v="2026-07-27T00:00:00"/>
        <s v="2026.7.28"/>
        <d v="2026-07-29T00:00:00"/>
        <s v="2026年7月31日"/>
        <d v="2026-08-01T00:00:00"/>
        <d v="2026-08-04T00:00:00"/>
        <d v="2026-08-05T00:00:00"/>
        <d v="2026-08-06T00:00:00"/>
        <d v="2026-08-09T00:00:00"/>
        <s v="2026/8/10"/>
        <d v="2026-08-11T00:00:00"/>
        <s v="2026/8/13"/>
        <d v="2026-08-13T00:00:00"/>
        <d v="2026-08-14T00:00:00"/>
        <d v="2026-08-15T00:00:00"/>
        <d v="2026-08-17T00:00:00"/>
        <d v="2026-08-18T00:00:00"/>
        <d v="2026-08-20T00:00:00"/>
        <m/>
      </sharedItems>
    </cacheField>
    <cacheField name="下单日期(修正后)" numFmtId="0">
      <sharedItems containsBlank="1"/>
    </cacheField>
    <cacheField name="客户ID" numFmtId="0">
      <sharedItems containsBlank="1"/>
    </cacheField>
    <cacheField name="客户名称(修正后)" numFmtId="0">
      <sharedItems containsBlank="1" count="21">
        <s v="广州启航教育"/>
        <s v="上海锦程贸易"/>
        <s v="长沙麓山科技"/>
        <s v="北京中关新材"/>
        <s v="郑州中原物流"/>
        <s v="武汉长江实业"/>
        <s v="杭州云图信息"/>
        <s v="重庆山城办公设备"/>
        <s v="成都天府商贸"/>
        <s v="北京华信科技"/>
        <s v="昆明滇池科技"/>
        <s v="合肥科大国创"/>
        <s v="苏州创智科技"/>
        <s v="天津海河传媒"/>
        <s v="宁波海港实业"/>
        <s v="南京紫金山软件园运营"/>
        <s v="石家庄振华商贸"/>
        <s v="佛山美的家电商贸"/>
        <s v="深圳蓝鲸网络"/>
        <s v="厦门鹭岛文创"/>
        <m/>
      </sharedItems>
    </cacheField>
    <cacheField name="客户名称" numFmtId="0">
      <sharedItems containsBlank="1"/>
    </cacheField>
    <cacheField name="客户ID(修正后)" numFmtId="0">
      <sharedItems containsBlank="1"/>
    </cacheField>
    <cacheField name="字段8" caption="字段8" numFmtId="0">
      <sharedItems containsBlank="1"/>
    </cacheField>
    <cacheField name="日期" numFmtId="0">
      <sharedItems containsNonDate="0" containsDate="1" containsString="0" containsBlank="1" minDate="2026-01-01T00:00:00" maxDate="2026-08-21T00:00:00" count="133">
        <d v="2026-01-01T00:00:00"/>
        <d v="2026-01-03T00:00:00"/>
        <d v="2026-01-07T00:00:00"/>
        <d v="2026-01-09T00:00:00"/>
        <d v="2026-01-13T00:00:00"/>
        <d v="2026-01-17T00:00:00"/>
        <d v="2026-01-20T00:00:00"/>
        <d v="2026-01-21T00:00:00"/>
        <d v="2026-01-23T00:00:00"/>
        <d v="2026-01-24T00:00:00"/>
        <d v="2026-01-25T00:00:00"/>
        <d v="2026-01-26T00:00:00"/>
        <d v="2026-08-16T00:00:00"/>
        <d v="2026-01-27T00:00:00"/>
        <d v="2026-01-29T00:00:00"/>
        <d v="2026-01-30T00:00:00"/>
        <d v="2026-01-31T00:00:00"/>
        <d v="2026-02-01T00:00:00"/>
        <d v="2026-02-03T00:00:00"/>
        <d v="2026-02-06T00:00:00"/>
        <d v="2026-07-03T00:00:00"/>
        <d v="2026-02-08T00:00:00"/>
        <d v="2026-02-16T00:00:00"/>
        <d v="2026-02-21T00:00:00"/>
        <d v="2026-05-12T00:00:00"/>
        <d v="2026-02-23T00:00:00"/>
        <d v="2026-02-27T00:00:00"/>
        <d v="2026-03-08T00:00:00"/>
        <d v="2026-02-28T00:00:00"/>
        <d v="2026-03-03T00:00:00"/>
        <d v="2026-03-06T00:00:00"/>
        <d v="2026-03-10T00:00:00"/>
        <d v="2026-03-15T00:00:00"/>
        <d v="2026-03-16T00:00:00"/>
        <d v="2026-03-17T00:00:00"/>
        <d v="2026-03-20T00:00:00"/>
        <d v="2026-03-21T00:00:00"/>
        <d v="2026-03-22T00:00:00"/>
        <d v="2026-03-23T00:00:00"/>
        <d v="2026-03-29T00:00:00"/>
        <d v="2026-03-31T00:00:00"/>
        <d v="2026-04-02T00:00:00"/>
        <d v="2026-04-03T00:00:00"/>
        <d v="2026-04-04T00:00:00"/>
        <d v="2026-04-05T00:00:00"/>
        <d v="2026-04-07T00:00:00"/>
        <d v="2026-04-12T00:00:00"/>
        <d v="2026-04-13T00:00:00"/>
        <d v="2026-04-18T00:00:00"/>
        <d v="2026-04-19T00:00:00"/>
        <d v="2026-04-20T00:00:00"/>
        <d v="2026-04-21T00:00:00"/>
        <d v="2026-04-22T00:00:00"/>
        <d v="2026-04-23T00:00:00"/>
        <d v="2026-04-26T00:00:00"/>
        <d v="2026-04-27T00:00:00"/>
        <d v="2026-04-28T00:00:00"/>
        <d v="2026-04-29T00:00:00"/>
        <d v="2026-04-30T00:00:00"/>
        <d v="2026-05-01T00:00:00"/>
        <d v="2026-05-03T00:00:00"/>
        <d v="2026-05-04T00:00:00"/>
        <d v="2026-05-05T00:00:00"/>
        <d v="2026-05-06T00:00:00"/>
        <d v="2026-05-08T00:00:00"/>
        <d v="2026-05-09T00:00:00"/>
        <d v="2026-05-10T00:00:00"/>
        <d v="2026-05-11T00:00:00"/>
        <d v="2026-06-03T00:00:00"/>
        <d v="2026-05-13T00:00:00"/>
        <d v="2026-05-14T00:00:00"/>
        <d v="2026-05-15T00:00:00"/>
        <d v="2026-05-18T00:00:00"/>
        <d v="2026-05-20T00:00:00"/>
        <d v="2026-05-21T00:00:00"/>
        <d v="2026-05-22T00:00:00"/>
        <d v="2026-05-23T00:00:00"/>
        <d v="2026-05-24T00:00:00"/>
        <d v="2026-05-25T00:00:00"/>
        <d v="2026-05-27T00:00:00"/>
        <d v="2026-05-28T00:00:00"/>
        <d v="2026-05-30T00:00:00"/>
        <d v="2026-07-26T00:00:00"/>
        <d v="2026-05-31T00:00:00"/>
        <d v="2026-06-02T00:00:00"/>
        <d v="2026-06-07T00:00:00"/>
        <d v="2026-06-09T00:00:00"/>
        <d v="2026-06-10T00:00:00"/>
        <d v="2026-06-13T00:00:00"/>
        <d v="2026-06-15T00:00:00"/>
        <d v="2026-06-16T00:00:00"/>
        <d v="2026-06-17T00:00:00"/>
        <d v="2026-06-19T00:00:00"/>
        <d v="2026-06-21T00:00:00"/>
        <d v="2026-06-22T00:00:00"/>
        <d v="2026-06-23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5T00:00:00"/>
        <d v="2026-07-06T00:00:00"/>
        <d v="2026-07-07T00:00:00"/>
        <d v="2026-07-10T00:00:00"/>
        <d v="2026-07-12T00:00:00"/>
        <d v="2026-07-16T00:00:00"/>
        <d v="2026-07-17T00:00:00"/>
        <d v="2026-07-18T00:00:00"/>
        <d v="2026-07-20T00:00:00"/>
        <d v="2026-07-24T00:00:00"/>
        <d v="2026-07-25T00:00:00"/>
        <d v="2026-07-27T00:00:00"/>
        <d v="2026-07-28T00:00:00"/>
        <d v="2026-07-29T00:00:00"/>
        <d v="2026-07-31T00:00:00"/>
        <d v="2026-08-01T00:00:00"/>
        <d v="2026-08-04T00:00:00"/>
        <d v="2026-08-05T00:00:00"/>
        <d v="2026-08-06T00:00:00"/>
        <d v="2026-08-09T00:00:00"/>
        <d v="2026-08-10T00:00:00"/>
        <d v="2026-08-11T00:00:00"/>
        <d v="2026-08-13T00:00:00"/>
        <d v="2026-08-14T00:00:00"/>
        <d v="2026-08-15T00:00:00"/>
        <d v="2026-08-17T00:00:00"/>
        <d v="2026-08-18T00:00:00"/>
        <d v="2026-08-20T00:00:00"/>
        <m/>
      </sharedItems>
      <fieldGroup par="24"/>
    </cacheField>
    <cacheField name="流水号" numFmtId="0">
      <sharedItems containsBlank="1"/>
    </cacheField>
    <cacheField name="用户登记（修正后）" numFmtId="0">
      <sharedItems containsBlank="1"/>
    </cacheField>
    <cacheField name="销售员" numFmtId="0">
      <sharedItems containsBlank="1" count="9">
        <s v="孙悦"/>
        <s v="李娜"/>
        <s v="陈静"/>
        <s v="王强"/>
        <s v="赵磊"/>
        <s v="杨帆"/>
        <s v="刘洋"/>
        <s v="张伟"/>
        <m/>
      </sharedItems>
    </cacheField>
    <cacheField name="区域" numFmtId="0">
      <sharedItems containsBlank="1"/>
    </cacheField>
    <cacheField name="区域(修正后)" numFmtId="0">
      <sharedItems containsBlank="1" count="6">
        <s v="华南"/>
        <s v="华东"/>
        <s v="华中"/>
        <s v="华北"/>
        <s v="西南"/>
        <m/>
      </sharedItems>
    </cacheField>
    <cacheField name="产品编码" numFmtId="0">
      <sharedItems containsBlank="1"/>
    </cacheField>
    <cacheField name="产品名称" numFmtId="0">
      <sharedItems containsBlank="1"/>
    </cacheField>
    <cacheField name="单价(元)" numFmtId="0">
      <sharedItems containsString="0" containsBlank="1" containsNumber="1" containsInteger="1" minValue="45" maxValue="5699"/>
    </cacheField>
    <cacheField name="数量" numFmtId="0">
      <sharedItems containsBlank="1" containsMixedTypes="1" containsNumber="1" containsInteger="1" minValue="1" maxValue="120"/>
    </cacheField>
    <cacheField name="修正后" numFmtId="0">
      <sharedItems containsString="0" containsBlank="1" containsNumber="1" containsInteger="1" minValue="1" maxValue="120"/>
    </cacheField>
    <cacheField name="折扣(修正后)" numFmtId="0">
      <sharedItems containsString="0" containsBlank="1" containsNumber="1" minValue="0.85" maxValue="1"/>
    </cacheField>
    <cacheField name="金额(元)" numFmtId="0">
      <sharedItems containsBlank="1" containsMixedTypes="1" containsNumber="1" minValue="495" maxValue="74087"/>
    </cacheField>
    <cacheField name="金额(修正后)" numFmtId="0">
      <sharedItems containsString="0" containsBlank="1" containsNumber="1" containsInteger="1" minValue="495" maxValue="74087" count="149">
        <n v="7689"/>
        <n v="2691"/>
        <n v="899"/>
        <n v="5394"/>
        <n v="8960"/>
        <n v="2560"/>
        <n v="3825"/>
        <n v="3596"/>
        <n v="3495"/>
        <n v="1797"/>
        <n v="2598"/>
        <n v="36960"/>
        <n v="12320"/>
        <n v="9996"/>
        <n v="9856"/>
        <n v="2093"/>
        <n v="17097"/>
        <n v="13980"/>
        <n v="11398"/>
        <n v="5310"/>
        <n v="4635"/>
        <n v="37345"/>
        <n v="10010"/>
        <n v="598"/>
        <n v="62689"/>
        <n v="12495"/>
        <n v="74087"/>
        <n v="28495"/>
        <n v="14376"/>
        <n v="1536"/>
        <n v="33880"/>
        <n v="45592"/>
        <n v="46200"/>
        <n v="15588"/>
        <n v="7188"/>
        <n v="14289"/>
        <n v="9093"/>
        <n v="22163"/>
        <n v="5699"/>
        <n v="5990"/>
        <n v="44275"/>
        <n v="765"/>
        <n v="1794"/>
        <n v="17475"/>
        <n v="27261"/>
        <n v="42735"/>
        <n v="1299"/>
        <n v="11776"/>
        <n v="6293"/>
        <n v="4230"/>
        <n v="7040"/>
        <n v="495"/>
        <n v="4905"/>
        <n v="3897"/>
        <n v="38500"/>
        <n v="11691"/>
        <n v="21594"/>
        <n v="17995"/>
        <n v="6291"/>
        <n v="2990"/>
        <n v="28792"/>
        <n v="28105"/>
        <n v="3588"/>
        <n v="13312"/>
        <n v="4495"/>
        <n v="25794"/>
        <n v="34392"/>
        <n v="12288"/>
        <n v="25193"/>
        <n v="22368"/>
        <n v="36190"/>
        <n v="3375"/>
        <n v="4352"/>
        <n v="18569"/>
        <n v="12990"/>
        <n v="2944"/>
        <n v="68388"/>
        <n v="20405"/>
        <n v="14994"/>
        <n v="4194"/>
        <n v="24465"/>
        <n v="20965"/>
        <n v="6990"/>
        <n v="23067"/>
        <n v="56990"/>
        <n v="26562"/>
        <n v="21495"/>
        <n v="39589"/>
        <n v="4365"/>
        <n v="8832"/>
        <n v="675"/>
        <n v="12800"/>
        <n v="14592"/>
        <n v="8388"/>
        <n v="5196"/>
        <n v="23960"/>
        <n v="1080"/>
        <n v="9240"/>
        <n v="20271"/>
        <n v="13281"/>
        <n v="8704"/>
        <n v="2697"/>
        <n v="32725"/>
        <n v="8448"/>
        <n v="6495"/>
        <n v="3599"/>
        <n v="2097"/>
        <n v="9625"/>
        <n v="6528"/>
        <n v="15104"/>
        <n v="25410"/>
        <n v="27335"/>
        <n v="3465"/>
        <n v="15378"/>
        <n v="5592"/>
        <n v="10797"/>
        <n v="25863"/>
        <n v="19992"/>
        <n v="19168"/>
        <n v="14396"/>
        <n v="5504"/>
        <n v="39893"/>
        <n v="47289"/>
        <n v="7787"/>
        <n v="7497"/>
        <n v="3840"/>
        <n v="18865"/>
        <n v="1495"/>
        <n v="18174"/>
        <n v="12579"/>
        <n v="18480"/>
        <n v="10183"/>
        <n v="13475"/>
        <n v="40040"/>
        <n v="14976"/>
        <n v="23766"/>
        <n v="20790"/>
        <n v="17493"/>
        <n v="11883"/>
        <n v="897"/>
        <n v="2816"/>
        <n v="35035"/>
        <n v="51291"/>
        <n v="8576"/>
        <n v="5248"/>
        <n v="4410"/>
        <n v="3289"/>
        <n v="51588"/>
        <m/>
      </sharedItems>
    </cacheField>
    <cacheField name="订单状态" numFmtId="0">
      <sharedItems containsBlank="1" count="5">
        <s v="已取消"/>
        <s v="已发货"/>
        <s v="已完成"/>
        <s v="待付款"/>
        <m/>
      </sharedItems>
    </cacheField>
    <cacheField name="应收金额" numFmtId="0">
      <sharedItems containsString="0" containsBlank="1" containsNumber="1" minValue="470.25" maxValue="70382.649999999994"/>
    </cacheField>
    <cacheField name="月(日期)" numFmtId="0" databaseField="0">
      <fieldGroup base="8">
        <rangePr groupBy="months" startDate="2026-01-01T00:00:00" endDate="2026-08-21T00:00:00"/>
        <groupItems count="14">
          <s v="&lt;2026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8/21"/>
        </groupItems>
      </fieldGroup>
    </cacheField>
  </cacheFields>
  <extLst>
    <ext xmlns:x14="http://schemas.microsoft.com/office/spreadsheetml/2009/9/main" uri="{725AE2AE-9491-48be-B2B4-4EB974FC3084}">
      <x14:pivotCacheDefinition pivotCacheId="27083091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isgirl" refreshedDate="46256.584156018522" createdVersion="8" refreshedVersion="8" minRefreshableVersion="3" recordCount="202" xr:uid="{1BBB8725-B1AA-491B-A1E3-F156827E1EA3}">
  <cacheSource type="worksheet">
    <worksheetSource ref="D1:X203" sheet="订单表_原始"/>
  </cacheSource>
  <cacheFields count="21">
    <cacheField name="客户ID" numFmtId="0">
      <sharedItems/>
    </cacheField>
    <cacheField name="客户名称(修正后)" numFmtId="0">
      <sharedItems/>
    </cacheField>
    <cacheField name="客户名称" numFmtId="0">
      <sharedItems/>
    </cacheField>
    <cacheField name="客户ID(修正后)" numFmtId="0">
      <sharedItems/>
    </cacheField>
    <cacheField name="产品类别" numFmtId="0">
      <sharedItems count="4">
        <s v="软件服务"/>
        <s v="电子数码"/>
        <s v="办公设备"/>
        <s v="办公耗材"/>
      </sharedItems>
    </cacheField>
    <cacheField name="日期" numFmtId="14">
      <sharedItems containsSemiMixedTypes="0" containsNonDate="0" containsDate="1" containsString="0" minDate="2026-01-01T00:00:00" maxDate="2026-08-21T00:00:00"/>
    </cacheField>
    <cacheField name="流水号" numFmtId="0">
      <sharedItems/>
    </cacheField>
    <cacheField name="用户登记（修正后）" numFmtId="0">
      <sharedItems count="3">
        <s v="A"/>
        <s v="B"/>
        <s v="C"/>
      </sharedItems>
    </cacheField>
    <cacheField name="销售员" numFmtId="0">
      <sharedItems/>
    </cacheField>
    <cacheField name="区域" numFmtId="0">
      <sharedItems/>
    </cacheField>
    <cacheField name="区域(修正后)" numFmtId="0">
      <sharedItems/>
    </cacheField>
    <cacheField name="产品编码" numFmtId="0">
      <sharedItems/>
    </cacheField>
    <cacheField name="产品名称" numFmtId="0">
      <sharedItems/>
    </cacheField>
    <cacheField name="单价(元)" numFmtId="177">
      <sharedItems containsSemiMixedTypes="0" containsString="0" containsNumber="1" containsInteger="1" minValue="45" maxValue="5699"/>
    </cacheField>
    <cacheField name="数量" numFmtId="0">
      <sharedItems containsBlank="1" containsMixedTypes="1" containsNumber="1" containsInteger="1" minValue="1" maxValue="120"/>
    </cacheField>
    <cacheField name="修正后" numFmtId="0">
      <sharedItems containsSemiMixedTypes="0" containsString="0" containsNumber="1" containsInteger="1" minValue="1" maxValue="120"/>
    </cacheField>
    <cacheField name="折扣(修正后)" numFmtId="0">
      <sharedItems containsSemiMixedTypes="0" containsString="0" containsNumber="1" minValue="0.85" maxValue="1"/>
    </cacheField>
    <cacheField name="金额(元)" numFmtId="0">
      <sharedItems containsMixedTypes="1" containsNumber="1" minValue="495" maxValue="74087"/>
    </cacheField>
    <cacheField name="金额(修正后)" numFmtId="177">
      <sharedItems containsSemiMixedTypes="0" containsString="0" containsNumber="1" containsInteger="1" minValue="495" maxValue="74087"/>
    </cacheField>
    <cacheField name="订单状态" numFmtId="0">
      <sharedItems/>
    </cacheField>
    <cacheField name="应收金额" numFmtId="0">
      <sharedItems containsSemiMixedTypes="0" containsString="0" containsNumber="1" minValue="470.25" maxValue="70382.64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isgirl" refreshedDate="46256.660668402779" createdVersion="8" refreshedVersion="8" minRefreshableVersion="3" recordCount="202" xr:uid="{178FB5F1-F57C-42CE-8F2E-54EABCAF6813}">
  <cacheSource type="worksheet">
    <worksheetSource ref="A1:Z203" sheet="订单表_原始"/>
  </cacheSource>
  <cacheFields count="27">
    <cacheField name="订单编号" numFmtId="0">
      <sharedItems/>
    </cacheField>
    <cacheField name="下单日期" numFmtId="0">
      <sharedItems containsDate="1" containsMixedTypes="1" minDate="2026-01-01T00:00:00" maxDate="2026-08-21T00:00:00"/>
    </cacheField>
    <cacheField name="下单日期(修正后)" numFmtId="176">
      <sharedItems/>
    </cacheField>
    <cacheField name="客户ID" numFmtId="0">
      <sharedItems/>
    </cacheField>
    <cacheField name="客户名称(修正后)" numFmtId="0">
      <sharedItems/>
    </cacheField>
    <cacheField name="客户名称" numFmtId="0">
      <sharedItems/>
    </cacheField>
    <cacheField name="客户ID(修正后)" numFmtId="0">
      <sharedItems/>
    </cacheField>
    <cacheField name="产品类别" numFmtId="0">
      <sharedItems/>
    </cacheField>
    <cacheField name="日期" numFmtId="14">
      <sharedItems containsSemiMixedTypes="0" containsNonDate="0" containsDate="1" containsString="0" minDate="2026-01-01T00:00:00" maxDate="2026-08-21T00:00:00" count="132">
        <d v="2026-01-01T00:00:00"/>
        <d v="2026-01-03T00:00:00"/>
        <d v="2026-01-07T00:00:00"/>
        <d v="2026-01-09T00:00:00"/>
        <d v="2026-01-13T00:00:00"/>
        <d v="2026-01-17T00:00:00"/>
        <d v="2026-01-20T00:00:00"/>
        <d v="2026-01-21T00:00:00"/>
        <d v="2026-01-23T00:00:00"/>
        <d v="2026-01-24T00:00:00"/>
        <d v="2026-01-25T00:00:00"/>
        <d v="2026-01-26T00:00:00"/>
        <d v="2026-08-16T00:00:00"/>
        <d v="2026-01-27T00:00:00"/>
        <d v="2026-01-29T00:00:00"/>
        <d v="2026-01-30T00:00:00"/>
        <d v="2026-01-31T00:00:00"/>
        <d v="2026-02-01T00:00:00"/>
        <d v="2026-02-03T00:00:00"/>
        <d v="2026-02-06T00:00:00"/>
        <d v="2026-07-03T00:00:00"/>
        <d v="2026-02-08T00:00:00"/>
        <d v="2026-02-16T00:00:00"/>
        <d v="2026-02-21T00:00:00"/>
        <d v="2026-05-12T00:00:00"/>
        <d v="2026-02-23T00:00:00"/>
        <d v="2026-02-27T00:00:00"/>
        <d v="2026-03-08T00:00:00"/>
        <d v="2026-02-28T00:00:00"/>
        <d v="2026-03-03T00:00:00"/>
        <d v="2026-03-06T00:00:00"/>
        <d v="2026-03-10T00:00:00"/>
        <d v="2026-03-15T00:00:00"/>
        <d v="2026-03-16T00:00:00"/>
        <d v="2026-03-17T00:00:00"/>
        <d v="2026-03-20T00:00:00"/>
        <d v="2026-03-21T00:00:00"/>
        <d v="2026-03-22T00:00:00"/>
        <d v="2026-03-23T00:00:00"/>
        <d v="2026-03-29T00:00:00"/>
        <d v="2026-03-31T00:00:00"/>
        <d v="2026-04-02T00:00:00"/>
        <d v="2026-04-03T00:00:00"/>
        <d v="2026-04-04T00:00:00"/>
        <d v="2026-04-05T00:00:00"/>
        <d v="2026-04-07T00:00:00"/>
        <d v="2026-04-12T00:00:00"/>
        <d v="2026-04-13T00:00:00"/>
        <d v="2026-04-18T00:00:00"/>
        <d v="2026-04-19T00:00:00"/>
        <d v="2026-04-20T00:00:00"/>
        <d v="2026-04-21T00:00:00"/>
        <d v="2026-04-22T00:00:00"/>
        <d v="2026-04-23T00:00:00"/>
        <d v="2026-04-26T00:00:00"/>
        <d v="2026-04-27T00:00:00"/>
        <d v="2026-04-28T00:00:00"/>
        <d v="2026-04-29T00:00:00"/>
        <d v="2026-04-30T00:00:00"/>
        <d v="2026-05-01T00:00:00"/>
        <d v="2026-05-03T00:00:00"/>
        <d v="2026-05-04T00:00:00"/>
        <d v="2026-05-05T00:00:00"/>
        <d v="2026-05-06T00:00:00"/>
        <d v="2026-05-08T00:00:00"/>
        <d v="2026-05-09T00:00:00"/>
        <d v="2026-05-10T00:00:00"/>
        <d v="2026-05-11T00:00:00"/>
        <d v="2026-06-03T00:00:00"/>
        <d v="2026-05-13T00:00:00"/>
        <d v="2026-05-14T00:00:00"/>
        <d v="2026-05-15T00:00:00"/>
        <d v="2026-05-18T00:00:00"/>
        <d v="2026-05-20T00:00:00"/>
        <d v="2026-05-21T00:00:00"/>
        <d v="2026-05-22T00:00:00"/>
        <d v="2026-05-23T00:00:00"/>
        <d v="2026-05-24T00:00:00"/>
        <d v="2026-05-25T00:00:00"/>
        <d v="2026-05-27T00:00:00"/>
        <d v="2026-05-28T00:00:00"/>
        <d v="2026-05-30T00:00:00"/>
        <d v="2026-07-26T00:00:00"/>
        <d v="2026-05-31T00:00:00"/>
        <d v="2026-06-02T00:00:00"/>
        <d v="2026-06-07T00:00:00"/>
        <d v="2026-06-09T00:00:00"/>
        <d v="2026-06-10T00:00:00"/>
        <d v="2026-06-13T00:00:00"/>
        <d v="2026-06-15T00:00:00"/>
        <d v="2026-06-16T00:00:00"/>
        <d v="2026-06-17T00:00:00"/>
        <d v="2026-06-19T00:00:00"/>
        <d v="2026-06-21T00:00:00"/>
        <d v="2026-06-22T00:00:00"/>
        <d v="2026-06-23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5T00:00:00"/>
        <d v="2026-07-06T00:00:00"/>
        <d v="2026-07-07T00:00:00"/>
        <d v="2026-07-10T00:00:00"/>
        <d v="2026-07-12T00:00:00"/>
        <d v="2026-07-16T00:00:00"/>
        <d v="2026-07-17T00:00:00"/>
        <d v="2026-07-18T00:00:00"/>
        <d v="2026-07-20T00:00:00"/>
        <d v="2026-07-24T00:00:00"/>
        <d v="2026-07-25T00:00:00"/>
        <d v="2026-07-27T00:00:00"/>
        <d v="2026-07-28T00:00:00"/>
        <d v="2026-07-29T00:00:00"/>
        <d v="2026-07-31T00:00:00"/>
        <d v="2026-08-01T00:00:00"/>
        <d v="2026-08-04T00:00:00"/>
        <d v="2026-08-05T00:00:00"/>
        <d v="2026-08-06T00:00:00"/>
        <d v="2026-08-09T00:00:00"/>
        <d v="2026-08-10T00:00:00"/>
        <d v="2026-08-11T00:00:00"/>
        <d v="2026-08-13T00:00:00"/>
        <d v="2026-08-14T00:00:00"/>
        <d v="2026-08-15T00:00:00"/>
        <d v="2026-08-17T00:00:00"/>
        <d v="2026-08-18T00:00:00"/>
        <d v="2026-08-20T00:00:00"/>
      </sharedItems>
      <fieldGroup par="26"/>
    </cacheField>
    <cacheField name="流水号" numFmtId="0">
      <sharedItems/>
    </cacheField>
    <cacheField name="用户登记（修正后）" numFmtId="0">
      <sharedItems/>
    </cacheField>
    <cacheField name="销售员" numFmtId="0">
      <sharedItems/>
    </cacheField>
    <cacheField name="区域" numFmtId="0">
      <sharedItems/>
    </cacheField>
    <cacheField name="区域(修正后)" numFmtId="0">
      <sharedItems count="5">
        <s v="华南"/>
        <s v="华东"/>
        <s v="华中"/>
        <s v="华北"/>
        <s v="西南"/>
      </sharedItems>
    </cacheField>
    <cacheField name="产品编码" numFmtId="0">
      <sharedItems/>
    </cacheField>
    <cacheField name="产品名称" numFmtId="0">
      <sharedItems/>
    </cacheField>
    <cacheField name="单价(元)" numFmtId="177">
      <sharedItems containsSemiMixedTypes="0" containsString="0" containsNumber="1" containsInteger="1" minValue="45" maxValue="5699"/>
    </cacheField>
    <cacheField name="数量" numFmtId="0">
      <sharedItems containsBlank="1" containsMixedTypes="1" containsNumber="1" containsInteger="1" minValue="1" maxValue="120"/>
    </cacheField>
    <cacheField name="修正后" numFmtId="0">
      <sharedItems containsSemiMixedTypes="0" containsString="0" containsNumber="1" containsInteger="1" minValue="1" maxValue="120"/>
    </cacheField>
    <cacheField name="折扣(修正后)" numFmtId="0">
      <sharedItems containsSemiMixedTypes="0" containsString="0" containsNumber="1" minValue="0.85" maxValue="1"/>
    </cacheField>
    <cacheField name="金额(元)" numFmtId="0">
      <sharedItems containsMixedTypes="1" containsNumber="1" minValue="495" maxValue="74087"/>
    </cacheField>
    <cacheField name="金额(修正后)" numFmtId="177">
      <sharedItems containsSemiMixedTypes="0" containsString="0" containsNumber="1" containsInteger="1" minValue="495" maxValue="74087"/>
    </cacheField>
    <cacheField name="订单状态" numFmtId="0">
      <sharedItems/>
    </cacheField>
    <cacheField name="应收金额" numFmtId="0">
      <sharedItems containsSemiMixedTypes="0" containsString="0" containsNumber="1" minValue="470.25" maxValue="70382.649999999994"/>
    </cacheField>
    <cacheField name="成本" numFmtId="0">
      <sharedItems containsSemiMixedTypes="0" containsString="0" containsNumber="1" containsInteger="1" minValue="28" maxValue="4800"/>
    </cacheField>
    <cacheField name="毛利率" numFmtId="10">
      <sharedItems containsSemiMixedTypes="0" containsString="0" containsNumber="1" minValue="0.11341786647703653" maxValue="0.58263772954924875"/>
    </cacheField>
    <cacheField name="月(日期)" numFmtId="0" databaseField="0">
      <fieldGroup base="8">
        <rangePr groupBy="months" startDate="2026-01-01T00:00:00" endDate="2026-08-21T00:00:00"/>
        <groupItems count="14">
          <s v="&lt;2026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8/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x v="0"/>
    <d v="2026-01-01T00:00:00"/>
    <s v="2026-01-01"/>
    <s v="KH003"/>
    <s v="广州启航教育"/>
    <s v="广州启航教育"/>
    <s v="KH003"/>
    <s v="KH003"/>
    <d v="2026-01-01T00:00:00"/>
    <s v="0001"/>
    <s v="A"/>
    <s v="孙悦"/>
    <s v=" 华南"/>
    <s v="华南"/>
    <s v="CP011"/>
    <s v="办公软件年费授权"/>
    <n v="699"/>
    <m/>
    <n v="11"/>
    <n v="0.95"/>
    <n v="7689"/>
    <n v="7689"/>
    <s v="已取消"/>
  </r>
  <r>
    <x v="1"/>
    <d v="2026-01-03T00:00:00"/>
    <s v="2026-01-03"/>
    <s v="KH002"/>
    <s v="上海锦程贸易"/>
    <s v="上海锦程贸易"/>
    <s v="KH002"/>
    <s v="KH002"/>
    <d v="2026-01-03T00:00:00"/>
    <s v="0002"/>
    <s v="B"/>
    <s v="李娜"/>
    <s v="华东"/>
    <s v="华东"/>
    <s v="CP007"/>
    <s v="无线键鼠套装 KeyFree 2.0"/>
    <n v="299"/>
    <n v="9"/>
    <n v="9"/>
    <n v="1"/>
    <n v="2691"/>
    <n v="2691"/>
    <s v="已发货"/>
  </r>
  <r>
    <x v="2"/>
    <d v="2026-01-03T00:00:00"/>
    <s v="2026-01-03"/>
    <s v="KH003"/>
    <s v="广州启航教育"/>
    <s v="广州启航教育"/>
    <s v="KH003"/>
    <s v="KH003"/>
    <d v="2026-01-03T00:00:00"/>
    <s v="0003"/>
    <s v="A"/>
    <s v="陈静"/>
    <s v="华南"/>
    <s v="华南"/>
    <s v="CP003"/>
    <s v="碎纸机 SafeCut S8"/>
    <n v="899"/>
    <s v="1"/>
    <n v="1"/>
    <n v="1"/>
    <n v="899"/>
    <n v="899"/>
    <s v="已发货"/>
  </r>
  <r>
    <x v="3"/>
    <s v="2026年1月7日"/>
    <s v="2026-01-07"/>
    <s v="KH012"/>
    <s v="长沙麓山科技"/>
    <s v="长沙麓山科技"/>
    <s v="KH012"/>
    <s v="KH012"/>
    <d v="2026-01-07T00:00:00"/>
    <s v="0004"/>
    <s v="B"/>
    <s v="孙悦"/>
    <s v="华中区"/>
    <s v="华中"/>
    <s v="CP003"/>
    <s v="碎纸机 SafeCut S8"/>
    <n v="899"/>
    <n v="6"/>
    <n v="6"/>
    <n v="1"/>
    <n v="5394"/>
    <n v="5394"/>
    <s v="已发货"/>
  </r>
  <r>
    <x v="4"/>
    <d v="2026-01-07T00:00:00"/>
    <s v="2026-01-07"/>
    <s v="KH019"/>
    <s v="北京中关新材"/>
    <s v="北京中关新材"/>
    <s v="KH019"/>
    <s v="KH019"/>
    <d v="2026-01-07T00:00:00"/>
    <s v="0005"/>
    <s v="B"/>
    <s v="王强"/>
    <s v="华北"/>
    <s v="华北"/>
    <s v="CP008"/>
    <s v="A4复印纸（5包/箱）"/>
    <n v="128"/>
    <n v="70"/>
    <n v="70"/>
    <n v="0.9"/>
    <n v="8960"/>
    <n v="8960"/>
    <s v="已取消"/>
  </r>
  <r>
    <x v="5"/>
    <d v="2026-01-09T00:00:00"/>
    <s v="2026-01-09"/>
    <s v="KH017"/>
    <s v="郑州中原物流"/>
    <s v="郑州中原物流"/>
    <s v="KH017"/>
    <s v="KH017"/>
    <d v="2026-01-09T00:00:00"/>
    <s v="0006"/>
    <s v="B"/>
    <s v="赵磊"/>
    <s v="华中"/>
    <s v="华中"/>
    <s v="CP008"/>
    <s v="A4复印纸（5包/箱）"/>
    <n v="128"/>
    <s v="20"/>
    <n v="20"/>
    <n v="0.95"/>
    <n v="2560"/>
    <n v="2560"/>
    <s v="已发货"/>
  </r>
  <r>
    <x v="6"/>
    <d v="2026-01-09T00:00:00"/>
    <s v="2026-01-09"/>
    <s v="KH019"/>
    <s v="北京中关新材"/>
    <s v="北京中关新材"/>
    <s v="KH019"/>
    <s v="KH019"/>
    <d v="2026-01-09T00:00:00"/>
    <s v="0007"/>
    <s v="B"/>
    <s v="陈静"/>
    <s v="华北"/>
    <s v="华北"/>
    <s v="CP010"/>
    <s v="签字笔盒装（12支）"/>
    <n v="45"/>
    <n v="85"/>
    <n v="85"/>
    <n v="0.9"/>
    <n v="3825"/>
    <n v="3825"/>
    <s v="已完成"/>
  </r>
  <r>
    <x v="7"/>
    <d v="2026-01-13T00:00:00"/>
    <s v="2026-01-13"/>
    <s v="KH007"/>
    <s v="武汉长江实业"/>
    <s v="武汉长江实业"/>
    <s v="KH007"/>
    <s v="KH007"/>
    <d v="2026-01-13T00:00:00"/>
    <s v="0008"/>
    <s v="B"/>
    <s v="赵磊"/>
    <s v="华中"/>
    <s v="华中"/>
    <s v="CP003"/>
    <s v="碎纸机 SafeCut S8"/>
    <n v="899"/>
    <n v="4"/>
    <n v="4"/>
    <n v="1"/>
    <n v="3596"/>
    <n v="3596"/>
    <s v="已完成"/>
  </r>
  <r>
    <x v="8"/>
    <d v="2026-01-17T00:00:00"/>
    <s v="2026-01-17"/>
    <s v="KH002"/>
    <s v="上海锦程贸易"/>
    <s v="上海锦程贸易"/>
    <s v="KH002"/>
    <s v="KH002"/>
    <d v="2026-01-17T00:00:00"/>
    <s v="0009"/>
    <s v="B"/>
    <s v="杨帆"/>
    <s v="华东"/>
    <s v="华东"/>
    <s v="CP011"/>
    <s v="办公软件年费授权"/>
    <n v="699"/>
    <n v="5"/>
    <n v="5"/>
    <n v="1"/>
    <n v="3495"/>
    <n v="3495"/>
    <s v="已发货"/>
  </r>
  <r>
    <x v="9"/>
    <d v="2026-01-20T00:00:00"/>
    <s v="2026-01-20"/>
    <s v="KH019"/>
    <s v="北京中关新材"/>
    <s v="北京中关新材"/>
    <s v="KH019"/>
    <s v="KH019"/>
    <d v="2026-01-20T00:00:00"/>
    <s v="0010"/>
    <s v="B"/>
    <s v="孙悦"/>
    <s v="华北"/>
    <s v="华北"/>
    <s v="CP012"/>
    <s v="云存储服务（1TB/年） "/>
    <n v="599"/>
    <n v="3"/>
    <n v="3"/>
    <n v="1"/>
    <n v="1797"/>
    <n v="1797"/>
    <s v="已完成"/>
  </r>
  <r>
    <x v="10"/>
    <d v="2026-01-21T00:00:00"/>
    <s v="2026-01-21"/>
    <s v="KH005"/>
    <s v="杭州云图信息"/>
    <s v="杭州云图信息"/>
    <s v="KH005"/>
    <s v="KH005"/>
    <d v="2026-01-21T00:00:00"/>
    <s v="0011"/>
    <s v="A"/>
    <s v="孙悦"/>
    <s v="华东"/>
    <s v="华东"/>
    <s v="CP006"/>
    <s v="显示器 ViewMax 27"/>
    <n v="1299"/>
    <n v="2"/>
    <n v="2"/>
    <n v="1"/>
    <n v="2598"/>
    <n v="2598"/>
    <s v="已取消"/>
  </r>
  <r>
    <x v="11"/>
    <d v="2026-01-23T00:00:00"/>
    <s v="2026-01-23"/>
    <s v="KH011"/>
    <s v="重庆山城办公设备"/>
    <s v="重庆山城办公设备"/>
    <s v="KH011"/>
    <s v="KH011"/>
    <d v="2026-01-23T00:00:00"/>
    <s v="0012"/>
    <s v="B"/>
    <s v="刘洋"/>
    <s v="西南"/>
    <s v="西南"/>
    <s v="CP011"/>
    <s v="办公软件年费授权"/>
    <n v="699"/>
    <s v="11"/>
    <n v="11"/>
    <n v="0.95"/>
    <n v="7689"/>
    <n v="7689"/>
    <s v="已完成"/>
  </r>
  <r>
    <x v="12"/>
    <d v="2026-01-24T00:00:00"/>
    <s v="2026-01-24"/>
    <s v="KH006"/>
    <s v="成都天府商贸"/>
    <s v="成都天府商贸"/>
    <s v="KH006"/>
    <s v="KH006"/>
    <d v="2026-01-24T00:00:00"/>
    <s v="0013"/>
    <s v="C"/>
    <s v="李娜"/>
    <s v="西南"/>
    <s v="西南"/>
    <s v="CP009"/>
    <s v="激光硒鼓 TonerMax 12A"/>
    <n v="385"/>
    <n v="96"/>
    <n v="96"/>
    <n v="0.9"/>
    <n v="36960"/>
    <n v="36960"/>
    <s v="已完成"/>
  </r>
  <r>
    <x v="13"/>
    <d v="2026-01-25T00:00:00"/>
    <s v="2026-01-25"/>
    <s v="KH001"/>
    <s v="北京华信科技"/>
    <s v="北京华信科技"/>
    <s v="KH001"/>
    <s v="KH001"/>
    <d v="2026-01-25T00:00:00"/>
    <s v="0014"/>
    <s v="A"/>
    <s v="张伟"/>
    <s v="华北"/>
    <s v="华北"/>
    <s v="CP009"/>
    <s v="激光硒鼓 TonerMax 12A"/>
    <n v="385"/>
    <s v="32"/>
    <n v="32"/>
    <n v="0.95"/>
    <n v="12320"/>
    <n v="12320"/>
    <s v="已发货"/>
  </r>
  <r>
    <x v="14"/>
    <d v="2026-01-26T00:00:00"/>
    <s v="2026-01-26"/>
    <s v="KH019"/>
    <s v="北京中关新材"/>
    <s v="北京中关新材"/>
    <s v="KH019"/>
    <s v="KH019"/>
    <d v="2026-01-26T00:00:00"/>
    <s v="0015"/>
    <s v="B"/>
    <s v="孙悦"/>
    <s v="华北"/>
    <s v="华北"/>
    <s v="CP001"/>
    <s v="激光打印机 ProLaser 200"/>
    <n v="2499"/>
    <m/>
    <n v="4"/>
    <n v="1"/>
    <n v="9996"/>
    <n v="9996"/>
    <s v="已发货"/>
  </r>
  <r>
    <x v="15"/>
    <d v="2026-08-16T00:00:00"/>
    <s v="2026-08-16"/>
    <s v="KH016"/>
    <s v="昆明滇池科技"/>
    <s v="昆明滇池科技"/>
    <s v="KH016"/>
    <s v="KH016"/>
    <d v="2026-08-16T00:00:00"/>
    <s v="0196"/>
    <s v="C"/>
    <s v="赵磊"/>
    <s v="西南区"/>
    <s v="西南"/>
    <s v="CP008"/>
    <s v="A4复印纸（5包/箱）"/>
    <n v="128"/>
    <n v="77"/>
    <n v="77"/>
    <n v="0.9"/>
    <n v="9856"/>
    <n v="9856"/>
    <s v="已完成"/>
  </r>
  <r>
    <x v="16"/>
    <d v="2026-01-26T00:00:00"/>
    <s v="2026-01-26"/>
    <s v="KH017"/>
    <s v="郑州中原物流"/>
    <s v="郑州中原物流"/>
    <s v="KH017"/>
    <s v="KH017"/>
    <d v="2026-01-26T00:00:00"/>
    <s v="0016"/>
    <s v="B"/>
    <s v="王强"/>
    <s v="华中区"/>
    <s v="华中"/>
    <s v="CP003"/>
    <s v="碎纸机 SafeCut S8"/>
    <n v="899"/>
    <n v="4"/>
    <n v="4"/>
    <n v="1"/>
    <n v="3596"/>
    <n v="3596"/>
    <s v="已完成"/>
  </r>
  <r>
    <x v="17"/>
    <d v="2026-01-27T00:00:00"/>
    <s v="2026-01-27"/>
    <s v="KH017"/>
    <s v="郑州中原物流"/>
    <s v="郑州中原物流"/>
    <s v="KH017"/>
    <s v="KH017"/>
    <d v="2026-01-27T00:00:00"/>
    <s v="0017"/>
    <s v="B"/>
    <s v="赵磊"/>
    <s v="华中"/>
    <s v="华中"/>
    <s v="CP007"/>
    <s v="无线键鼠套装 KeyFree 2.0"/>
    <n v="299"/>
    <n v="7"/>
    <n v="7"/>
    <n v="1"/>
    <n v="2093"/>
    <n v="2093"/>
    <s v="待付款"/>
  </r>
  <r>
    <x v="18"/>
    <d v="2026-01-27T00:00:00"/>
    <s v="2026-01-27"/>
    <s v="KH007"/>
    <s v="武汉长江实业"/>
    <s v="武汉长江实业"/>
    <s v="KH007"/>
    <s v="KH007"/>
    <d v="2026-01-27T00:00:00"/>
    <s v="0018"/>
    <s v="B"/>
    <s v="陈静"/>
    <s v="华中"/>
    <s v="华中"/>
    <s v="CP004"/>
    <s v="笔记本电脑 TechBook 14 "/>
    <n v="5699"/>
    <n v="3"/>
    <n v="3"/>
    <n v="1"/>
    <n v="17097"/>
    <n v="17097"/>
    <s v="已完成"/>
  </r>
  <r>
    <x v="19"/>
    <d v="2026-01-29T00:00:00"/>
    <s v="2026-01-29"/>
    <s v="KH020"/>
    <s v="合肥科大国创"/>
    <s v="合肥科大国创"/>
    <s v="KH020"/>
    <s v="KH020"/>
    <d v="2026-01-29T00:00:00"/>
    <s v="0019"/>
    <s v="C"/>
    <s v="孙悦"/>
    <s v="华东"/>
    <s v="华东"/>
    <s v="CP011"/>
    <s v="办公软件年费授权 "/>
    <n v="699"/>
    <n v="20"/>
    <n v="20"/>
    <n v="0.95"/>
    <n v="13980"/>
    <n v="13980"/>
    <s v="已完成"/>
  </r>
  <r>
    <x v="20"/>
    <d v="2026-01-30T00:00:00"/>
    <s v="2026-01-30"/>
    <s v="KH010"/>
    <s v="苏州创智科技"/>
    <s v="苏州创智科技"/>
    <s v="KH010"/>
    <s v="KH010"/>
    <d v="2026-01-30T00:00:00"/>
    <s v="0020"/>
    <s v="A"/>
    <s v="陈静"/>
    <s v="华东"/>
    <s v="华东"/>
    <s v="CP007"/>
    <s v="无线键鼠套装 KeyFree 2.0"/>
    <n v="299"/>
    <n v="9"/>
    <n v="9"/>
    <n v="1"/>
    <s v="¥2,691.00"/>
    <n v="2691"/>
    <s v="待付款"/>
  </r>
  <r>
    <x v="21"/>
    <d v="2026-01-31T00:00:00"/>
    <s v="2026-01-31"/>
    <s v="KH017"/>
    <s v="郑州中原物流"/>
    <s v="郑州中原物流"/>
    <s v="KH017"/>
    <s v="KH017"/>
    <d v="2026-01-31T00:00:00"/>
    <s v="0021"/>
    <s v="B"/>
    <s v="孙悦"/>
    <s v="华中"/>
    <s v="华中"/>
    <s v="CP004"/>
    <s v="笔记本电脑 TechBook 14"/>
    <n v="5699"/>
    <n v="2"/>
    <n v="2"/>
    <n v="1"/>
    <n v="11398"/>
    <n v="11398"/>
    <s v="已发货"/>
  </r>
  <r>
    <x v="22"/>
    <d v="2026-02-01T00:00:00"/>
    <s v="2026-02-01"/>
    <s v="KH007"/>
    <s v="武汉长江实业"/>
    <s v="武汉长江实业"/>
    <s v="KH007"/>
    <s v="KH007"/>
    <d v="2026-02-01T00:00:00"/>
    <s v="0022"/>
    <s v="B"/>
    <s v="王强"/>
    <s v="华中"/>
    <s v="华中"/>
    <s v="CP010"/>
    <s v="签字笔盒装（12支）"/>
    <n v="45"/>
    <n v="118"/>
    <n v="118"/>
    <n v="0.85"/>
    <n v="5310"/>
    <n v="5310"/>
    <s v="已取消"/>
  </r>
  <r>
    <x v="23"/>
    <d v="2026-02-03T00:00:00"/>
    <s v="2026-02-03"/>
    <s v="KH006"/>
    <s v="成都天府商贸"/>
    <s v="成都天府商贸"/>
    <s v="KH006"/>
    <s v="KH006"/>
    <d v="2026-02-03T00:00:00"/>
    <s v="0023"/>
    <s v="C"/>
    <s v="李娜"/>
    <s v="西南"/>
    <s v="西南"/>
    <s v="CP003"/>
    <s v="碎纸机 SafeCut S8"/>
    <n v="899"/>
    <n v="4"/>
    <n v="4"/>
    <n v="1"/>
    <n v="3596"/>
    <n v="3596"/>
    <s v="已发货"/>
  </r>
  <r>
    <x v="24"/>
    <d v="2026-02-06T00:00:00"/>
    <s v="2026-02-06"/>
    <s v="KH005"/>
    <s v="杭州云图信息"/>
    <s v="杭州云图信息"/>
    <s v="KH005"/>
    <s v="KH005"/>
    <d v="2026-02-06T00:00:00"/>
    <s v="0024"/>
    <s v="A"/>
    <s v="刘洋"/>
    <s v="华东"/>
    <s v="华东"/>
    <s v="CP010"/>
    <s v="签字笔盒装（12支）"/>
    <n v="45"/>
    <n v="103"/>
    <n v="103"/>
    <n v="0.85"/>
    <n v="4635"/>
    <n v="4635"/>
    <s v="已完成"/>
  </r>
  <r>
    <x v="25"/>
    <d v="2026-07-03T00:00:00"/>
    <s v="2026-07-03"/>
    <s v="KH009"/>
    <s v="天津海河传媒"/>
    <s v="天津海河传媒"/>
    <s v="KH009"/>
    <s v="KH009"/>
    <d v="2026-07-03T00:00:00"/>
    <s v="0152"/>
    <s v="C"/>
    <s v="杨帆"/>
    <s v="华北区"/>
    <s v="华北"/>
    <s v="CP009"/>
    <s v="激光硒鼓 TonerMax 12A"/>
    <n v="385"/>
    <n v="97"/>
    <n v="97"/>
    <n v="0.9"/>
    <n v="37345"/>
    <n v="37345"/>
    <s v="已完成"/>
  </r>
  <r>
    <x v="26"/>
    <d v="2026-02-06T00:00:00"/>
    <s v="2026-02-06"/>
    <s v="KH011"/>
    <s v="重庆山城办公设备"/>
    <s v="重庆山城办公设备"/>
    <s v="KH011"/>
    <s v="KH011"/>
    <d v="2026-02-06T00:00:00"/>
    <s v="0025"/>
    <s v="B"/>
    <s v="李娜"/>
    <s v="西南"/>
    <s v="西南"/>
    <s v="CP009"/>
    <s v="激光硒鼓 TonerMax 12A"/>
    <n v="385"/>
    <n v="26"/>
    <n v="26"/>
    <n v="0.95"/>
    <n v="10010"/>
    <n v="10010"/>
    <s v="待付款"/>
  </r>
  <r>
    <x v="27"/>
    <d v="2026-02-08T00:00:00"/>
    <s v="2026-02-08"/>
    <s v="KH002"/>
    <s v="上海锦程贸易"/>
    <s v="上海锦程贸易"/>
    <s v="KH002"/>
    <s v="KH002"/>
    <d v="2026-02-08T00:00:00"/>
    <s v="0026"/>
    <s v="B"/>
    <s v="张伟"/>
    <s v="华东"/>
    <s v="华东"/>
    <s v="CP007"/>
    <s v="无线键鼠套装 KeyFree 2.0"/>
    <n v="299"/>
    <n v="2"/>
    <n v="2"/>
    <n v="1"/>
    <n v="598"/>
    <n v="598"/>
    <s v="已发货"/>
  </r>
  <r>
    <x v="28"/>
    <d v="2026-02-16T00:00:00"/>
    <s v="2026-02-16"/>
    <s v="KH014"/>
    <s v="宁波海港实业"/>
    <s v="宁波海港实业"/>
    <s v="KH014"/>
    <s v="KH014"/>
    <d v="2026-02-16T00:00:00"/>
    <s v="0027"/>
    <s v="B"/>
    <s v="李娜"/>
    <s v="华东区"/>
    <s v="华东"/>
    <s v="CP004"/>
    <s v="笔记本电脑 TechBook 14"/>
    <n v="5699"/>
    <n v="11"/>
    <n v="11"/>
    <n v="0.95"/>
    <s v="¥62,689.00"/>
    <n v="62689"/>
    <s v="已完成"/>
  </r>
  <r>
    <x v="29"/>
    <s v="2026.2.21"/>
    <s v="2026-02-21"/>
    <s v="KH005"/>
    <s v="杭州云图信息"/>
    <s v="杭州云图信息"/>
    <s v="KH005"/>
    <s v="KH005"/>
    <d v="2026-02-21T00:00:00"/>
    <s v="0028"/>
    <s v="A"/>
    <s v="杨帆"/>
    <s v="华东"/>
    <s v="华东"/>
    <s v="CP011"/>
    <s v="办公软件年费授权"/>
    <n v="699"/>
    <n v="20"/>
    <n v="20"/>
    <n v="0.95"/>
    <n v="13980"/>
    <n v="13980"/>
    <s v="已完成"/>
  </r>
  <r>
    <x v="30"/>
    <d v="2026-02-21T00:00:00"/>
    <s v="2026-02-21"/>
    <s v="KH005"/>
    <s v="杭州云图信息"/>
    <s v="杭州云图信息"/>
    <s v="KH005"/>
    <s v="KH005"/>
    <d v="2026-02-21T00:00:00"/>
    <s v="0029"/>
    <s v="A"/>
    <s v="赵磊"/>
    <s v="华东"/>
    <s v="华东"/>
    <s v="CP001"/>
    <s v="激光打印机 ProLaser 200"/>
    <n v="2499"/>
    <n v="5"/>
    <n v="5"/>
    <n v="1"/>
    <n v="12495"/>
    <n v="12495"/>
    <s v="已取消"/>
  </r>
  <r>
    <x v="31"/>
    <d v="2026-05-12T00:00:00"/>
    <s v="2026-05-12"/>
    <s v="KH014"/>
    <s v="宁波海港实业"/>
    <s v="宁波海港实业"/>
    <s v="KH014"/>
    <s v="KH014"/>
    <d v="2026-05-12T00:00:00"/>
    <s v="0102"/>
    <s v="B"/>
    <s v="王强"/>
    <s v="华东"/>
    <s v="华东"/>
    <s v="CP004"/>
    <s v="笔记本电脑 TechBook 14"/>
    <n v="5699"/>
    <n v="13"/>
    <n v="13"/>
    <n v="0.95"/>
    <n v="74087"/>
    <n v="74087"/>
    <s v="已发货"/>
  </r>
  <r>
    <x v="32"/>
    <d v="2026-02-23T00:00:00"/>
    <s v="2026-02-23"/>
    <s v="KH001"/>
    <s v="北京华信科技"/>
    <s v="北京华信科技"/>
    <s v="KH001"/>
    <s v="KH001"/>
    <d v="2026-02-23T00:00:00"/>
    <s v="0030"/>
    <s v="A"/>
    <s v="李娜"/>
    <s v="华北"/>
    <s v="华北"/>
    <s v="CP004"/>
    <s v="笔记本电脑 TechBook 14"/>
    <n v="5699"/>
    <s v="5"/>
    <n v="5"/>
    <n v="1"/>
    <n v="28495"/>
    <n v="28495"/>
    <s v="已完成"/>
  </r>
  <r>
    <x v="33"/>
    <d v="2026-02-27T00:00:00"/>
    <s v="2026-02-27"/>
    <s v="KH011"/>
    <s v="重庆山城办公设备"/>
    <s v="重庆山城办公设备"/>
    <s v="KH011"/>
    <s v="KH011"/>
    <d v="2026-02-27T00:00:00"/>
    <s v="0031"/>
    <s v="B"/>
    <s v="杨帆"/>
    <s v="西南"/>
    <s v="西南"/>
    <s v="CP012"/>
    <s v="云存储服务（1TB/年）"/>
    <n v="599"/>
    <n v="24"/>
    <n v="24"/>
    <n v="0.95"/>
    <n v="14376"/>
    <n v="14376"/>
    <s v="已发货"/>
  </r>
  <r>
    <x v="34"/>
    <d v="2026-03-08T00:00:00"/>
    <s v="2026-03-08"/>
    <s v="KH008"/>
    <s v="南京紫金山软件园运营"/>
    <s v="南京紫金山软件园运营"/>
    <s v="KH008"/>
    <s v="KH008"/>
    <d v="2026-03-08T00:00:00"/>
    <s v="0037"/>
    <s v="C"/>
    <s v="杨帆"/>
    <s v="华东"/>
    <s v="华东"/>
    <s v="CP008"/>
    <s v="A4复印纸（5包/箱）"/>
    <n v="128"/>
    <n v="12"/>
    <n v="12"/>
    <n v="0.95"/>
    <n v="1536"/>
    <n v="1536"/>
    <s v="已完成"/>
  </r>
  <r>
    <x v="35"/>
    <s v="2026/2/27"/>
    <s v="2026-02-27"/>
    <s v="KH012"/>
    <s v="长沙麓山科技"/>
    <s v="长沙麓山科技"/>
    <s v="KH012"/>
    <s v="KH012"/>
    <d v="2026-02-27T00:00:00"/>
    <s v="0032"/>
    <s v="B"/>
    <s v="张伟"/>
    <s v="华中"/>
    <s v="华中"/>
    <s v="CP009"/>
    <s v="激光硒鼓 TonerMax 12A"/>
    <n v="385"/>
    <n v="88"/>
    <n v="88"/>
    <n v="0.9"/>
    <n v="33880"/>
    <n v="33880"/>
    <s v="已取消"/>
  </r>
  <r>
    <x v="36"/>
    <d v="2026-02-28T00:00:00"/>
    <s v="2026-02-28"/>
    <s v="KH005"/>
    <s v="杭州云图信息"/>
    <s v="杭州云图信息"/>
    <s v="KH005"/>
    <s v="KH005"/>
    <d v="2026-02-28T00:00:00"/>
    <s v="0033"/>
    <s v="A"/>
    <s v="赵磊"/>
    <s v="华东区"/>
    <s v="华东"/>
    <s v="CP004"/>
    <s v="笔记本电脑 TechBook 14"/>
    <n v="5699"/>
    <n v="8"/>
    <n v="8"/>
    <n v="1"/>
    <s v="¥45,592.00"/>
    <n v="45592"/>
    <s v="已取消"/>
  </r>
  <r>
    <x v="37"/>
    <d v="2026-03-03T00:00:00"/>
    <s v="2026-03-03"/>
    <s v="KH017"/>
    <s v="郑州中原物流"/>
    <s v="郑州中原物流"/>
    <s v="KH017"/>
    <s v="KH017"/>
    <d v="2026-03-03T00:00:00"/>
    <s v="0034"/>
    <s v="B"/>
    <s v="陈静"/>
    <s v="华中"/>
    <s v="华中"/>
    <s v="CP009"/>
    <s v="激光硒鼓 TonerMax 12A"/>
    <n v="385"/>
    <n v="120"/>
    <n v="120"/>
    <n v="0.85"/>
    <n v="46200"/>
    <n v="46200"/>
    <s v="已完成"/>
  </r>
  <r>
    <x v="38"/>
    <d v="2026-03-06T00:00:00"/>
    <s v="2026-03-06"/>
    <s v="KH019"/>
    <s v="北京中关新材"/>
    <s v="北京中关新材"/>
    <s v="KH019"/>
    <s v="KH019"/>
    <d v="2026-03-06T00:00:00"/>
    <s v="0035"/>
    <s v="B"/>
    <s v="赵磊"/>
    <s v="华北"/>
    <s v="华北"/>
    <s v="CP006"/>
    <s v="显示器 ViewMax 27"/>
    <n v="1299"/>
    <n v="12"/>
    <n v="12"/>
    <n v="0.95"/>
    <n v="15588"/>
    <n v="15588"/>
    <s v="待付款"/>
  </r>
  <r>
    <x v="39"/>
    <d v="2026-03-06T00:00:00"/>
    <s v="2026-03-06"/>
    <s v="KH005"/>
    <s v="杭州云图信息"/>
    <s v="杭州云图信息"/>
    <s v="KH005"/>
    <s v="KH005"/>
    <d v="2026-03-06T00:00:00"/>
    <s v="0036"/>
    <s v="A"/>
    <s v="李娜"/>
    <s v="华东"/>
    <s v="华东"/>
    <s v="CP006"/>
    <s v="显示器 ViewMax 27"/>
    <n v="1299"/>
    <n v="12"/>
    <n v="12"/>
    <n v="0.95"/>
    <n v="15588"/>
    <n v="15588"/>
    <s v="已完成"/>
  </r>
  <r>
    <x v="40"/>
    <d v="2026-03-08T00:00:00"/>
    <s v="2026-03-08"/>
    <s v="KH001"/>
    <s v="北京华信科技"/>
    <s v="北京华信科技"/>
    <s v="KH001"/>
    <s v="KH001"/>
    <d v="2026-03-08T00:00:00"/>
    <s v="0038"/>
    <s v="A"/>
    <s v="李娜"/>
    <s v="华北"/>
    <s v="华北"/>
    <s v="CP012"/>
    <s v="云存储服务（1TB/年）"/>
    <n v="599"/>
    <n v="12"/>
    <n v="12"/>
    <n v="0.95"/>
    <n v="7188"/>
    <n v="7188"/>
    <s v="已完成"/>
  </r>
  <r>
    <x v="41"/>
    <d v="2026-03-08T00:00:00"/>
    <s v="2026-03-08"/>
    <s v="KH002"/>
    <s v="上海锦程贸易"/>
    <s v="上海锦程贸易"/>
    <s v="KH002"/>
    <s v="KH002"/>
    <d v="2026-03-08T00:00:00"/>
    <s v="0039"/>
    <s v="B"/>
    <s v="陈静"/>
    <s v="华东"/>
    <s v="华东"/>
    <s v="CP006"/>
    <s v="显示器 ViewMax 27"/>
    <n v="1299"/>
    <n v="11"/>
    <n v="11"/>
    <n v="0.95"/>
    <n v="14289"/>
    <n v="14289"/>
    <s v="已完成"/>
  </r>
  <r>
    <x v="42"/>
    <d v="2026-03-10T00:00:00"/>
    <s v="2026-03-10"/>
    <s v="KH011"/>
    <s v="重庆山城办公设备"/>
    <s v="重庆山城办公设备"/>
    <s v="KH011"/>
    <s v="KH011"/>
    <d v="2026-03-10T00:00:00"/>
    <s v="0040"/>
    <s v="B"/>
    <s v="赵磊"/>
    <s v="西南"/>
    <s v="西南"/>
    <s v="CP006"/>
    <s v="显示器 ViewMax 27"/>
    <n v="1299"/>
    <n v="7"/>
    <n v="7"/>
    <n v="1"/>
    <n v="9093"/>
    <n v="9093"/>
    <s v="已完成"/>
  </r>
  <r>
    <x v="43"/>
    <d v="2026-03-10T00:00:00"/>
    <s v="2026-03-10"/>
    <s v="KH008"/>
    <s v="南京紫金山软件园运营"/>
    <s v="南京紫金山软件园运营"/>
    <s v="KH008"/>
    <s v="KH008"/>
    <d v="2026-03-10T00:00:00"/>
    <s v="0041"/>
    <s v="C"/>
    <s v="王强"/>
    <s v="华东"/>
    <s v="华东"/>
    <s v="CP004"/>
    <s v="笔记本电脑 TechBook 14"/>
    <n v="5699"/>
    <n v="3"/>
    <n v="3"/>
    <n v="1"/>
    <n v="17097"/>
    <n v="17097"/>
    <s v="已完成"/>
  </r>
  <r>
    <x v="44"/>
    <d v="2026-03-15T00:00:00"/>
    <s v="2026-03-15"/>
    <s v="KH013"/>
    <s v="石家庄振华商贸"/>
    <s v="石家庄振华商贸"/>
    <s v="KH013"/>
    <s v="KH013"/>
    <d v="2026-03-15T00:00:00"/>
    <s v="0042"/>
    <s v="C"/>
    <s v="赵磊"/>
    <s v="华北"/>
    <s v="华北"/>
    <s v="CP012"/>
    <s v="云存储服务（1TB/年）"/>
    <n v="599"/>
    <n v="37"/>
    <n v="37"/>
    <n v="0.95"/>
    <n v="22163"/>
    <n v="22163"/>
    <s v="待付款"/>
  </r>
  <r>
    <x v="45"/>
    <d v="2026-03-15T00:00:00"/>
    <s v="2026-03-15"/>
    <s v="KH015"/>
    <s v="佛山美的家电商贸"/>
    <s v="佛山美的家电商贸"/>
    <s v="KH015"/>
    <s v="KH015"/>
    <d v="2026-03-15T00:00:00"/>
    <s v="0043"/>
    <s v="A"/>
    <s v="陈静"/>
    <s v="华南"/>
    <s v="华南"/>
    <s v="CP004"/>
    <s v="笔记本电脑 TechBook 14"/>
    <n v="5699"/>
    <n v="1"/>
    <n v="1"/>
    <n v="1"/>
    <n v="5699"/>
    <n v="5699"/>
    <s v="已完成"/>
  </r>
  <r>
    <x v="46"/>
    <d v="2026-03-16T00:00:00"/>
    <s v="2026-03-16"/>
    <s v="KH008"/>
    <s v="南京紫金山软件园运营"/>
    <s v="南京紫金山软件园运营"/>
    <s v="KH008"/>
    <s v="KH008"/>
    <d v="2026-03-16T00:00:00"/>
    <s v="0044"/>
    <s v="C"/>
    <s v="李娜"/>
    <s v="华东"/>
    <s v="华东"/>
    <s v="CP012"/>
    <s v="云存储服务（1TB/年）"/>
    <n v="599"/>
    <n v="10"/>
    <n v="10"/>
    <n v="0.95"/>
    <n v="5990"/>
    <n v="5990"/>
    <s v="待付款"/>
  </r>
  <r>
    <x v="47"/>
    <d v="2026-03-16T00:00:00"/>
    <s v="2026-03-16"/>
    <s v="KH010"/>
    <s v="苏州创智科技"/>
    <s v="苏州创智科技"/>
    <s v="KH010"/>
    <s v="KH010"/>
    <d v="2026-03-16T00:00:00"/>
    <s v="0045"/>
    <s v="A"/>
    <s v="陈静"/>
    <s v="华东"/>
    <s v="华东"/>
    <s v="CP009"/>
    <s v="激光硒鼓 TonerMax 12A"/>
    <n v="385"/>
    <n v="115"/>
    <n v="115"/>
    <n v="0.85"/>
    <n v="44275"/>
    <n v="44275"/>
    <s v="已完成"/>
  </r>
  <r>
    <x v="48"/>
    <d v="2026-03-17T00:00:00"/>
    <s v="2026-03-17"/>
    <s v="KH010"/>
    <s v="苏州创智科技"/>
    <s v="苏州创智科技"/>
    <s v="KH010"/>
    <s v="KH010"/>
    <d v="2026-03-17T00:00:00"/>
    <s v="0046"/>
    <s v="A"/>
    <s v="张伟"/>
    <s v="华东"/>
    <s v="华东"/>
    <s v="CP010"/>
    <s v="签字笔盒装（12支）"/>
    <n v="45"/>
    <n v="17"/>
    <n v="17"/>
    <n v="0.95"/>
    <s v="¥765.00"/>
    <n v="765"/>
    <s v="已发货"/>
  </r>
  <r>
    <x v="49"/>
    <d v="2026-03-20T00:00:00"/>
    <s v="2026-03-20"/>
    <s v="KH004"/>
    <s v="深圳蓝鲸网络"/>
    <s v="深圳蓝鲸网络"/>
    <s v="KH004"/>
    <s v="KH004"/>
    <d v="2026-03-20T00:00:00"/>
    <s v="0047"/>
    <s v="B"/>
    <s v="王强"/>
    <s v="华南"/>
    <s v="华南"/>
    <s v="CP001"/>
    <s v="激光打印机 ProLaser 200"/>
    <n v="2499"/>
    <n v="4"/>
    <n v="4"/>
    <n v="1"/>
    <n v="9996"/>
    <n v="9996"/>
    <s v="已取消"/>
  </r>
  <r>
    <x v="50"/>
    <d v="2026-03-21T00:00:00"/>
    <s v="2026-03-21"/>
    <s v="KH018"/>
    <s v="厦门鹭岛文创"/>
    <s v="厦门鹭岛文创"/>
    <s v="KH018"/>
    <s v="KH018"/>
    <d v="2026-03-21T00:00:00"/>
    <s v="0048"/>
    <s v="C"/>
    <s v="刘洋"/>
    <s v="华南区"/>
    <s v="华南"/>
    <s v="CP007"/>
    <s v="无线键鼠套装 KeyFree 2.0"/>
    <n v="299"/>
    <n v="6"/>
    <n v="6"/>
    <n v="1"/>
    <n v="1794"/>
    <n v="1794"/>
    <s v="已完成"/>
  </r>
  <r>
    <x v="51"/>
    <d v="2026-03-22T00:00:00"/>
    <s v="2026-03-22"/>
    <s v="KH005"/>
    <s v="杭州云图信息"/>
    <s v="杭州云图信息"/>
    <s v="KH005"/>
    <s v="KH005"/>
    <d v="2026-03-22T00:00:00"/>
    <s v="0049"/>
    <s v="A"/>
    <s v="杨帆"/>
    <s v="华东"/>
    <s v="华东"/>
    <s v="CP011"/>
    <s v="办公软件年费授权"/>
    <n v="699"/>
    <n v="25"/>
    <n v="25"/>
    <n v="0.95"/>
    <n v="17475"/>
    <n v="17475"/>
    <s v="已完成"/>
  </r>
  <r>
    <x v="52"/>
    <d v="2026-03-23T00:00:00"/>
    <s v="2026-03-23"/>
    <s v="KH009"/>
    <s v="天津海河传媒"/>
    <s v="天津海河传媒"/>
    <s v="KH009"/>
    <s v="KH009"/>
    <d v="2026-03-23T00:00:00"/>
    <s v="0050"/>
    <s v="C"/>
    <s v="陈静"/>
    <s v="华北"/>
    <s v="华北"/>
    <s v="CP011"/>
    <s v="办公软件年费授权"/>
    <n v="699"/>
    <n v="39"/>
    <n v="39"/>
    <n v="0.95"/>
    <n v="27261"/>
    <n v="27261"/>
    <s v="已完成"/>
  </r>
  <r>
    <x v="53"/>
    <d v="2026-03-23T00:00:00"/>
    <s v="2026-03-23"/>
    <s v="KH012"/>
    <s v="长沙麓山科技"/>
    <s v="长沙麓山科技"/>
    <s v="KH012"/>
    <s v="KH012"/>
    <d v="2026-03-23T00:00:00"/>
    <s v="0051"/>
    <s v="B"/>
    <s v="杨帆"/>
    <s v="华中"/>
    <s v="华中"/>
    <s v="CP003"/>
    <s v="碎纸机 SafeCut S8"/>
    <n v="899"/>
    <n v="1"/>
    <n v="1"/>
    <n v="1"/>
    <n v="899"/>
    <n v="899"/>
    <s v="待付款"/>
  </r>
  <r>
    <x v="54"/>
    <d v="2026-03-29T00:00:00"/>
    <s v="2026-03-29"/>
    <s v="KH016"/>
    <s v="昆明滇池科技"/>
    <s v="昆明滇池科技"/>
    <s v="KH016"/>
    <s v="KH016"/>
    <d v="2026-03-29T00:00:00"/>
    <s v="0052"/>
    <s v="C"/>
    <s v="张伟"/>
    <s v="西南"/>
    <s v="西南"/>
    <s v="CP009"/>
    <s v="激光硒鼓 TonerMax 12A"/>
    <n v="385"/>
    <n v="111"/>
    <n v="111"/>
    <n v="0.85"/>
    <n v="42735"/>
    <n v="42735"/>
    <s v="已发货"/>
  </r>
  <r>
    <x v="55"/>
    <d v="2026-03-31T00:00:00"/>
    <s v="2026-03-31"/>
    <s v="KH002"/>
    <s v="上海锦程贸易"/>
    <s v="上海锦程贸易"/>
    <s v="KH002"/>
    <s v="KH002"/>
    <d v="2026-03-31T00:00:00"/>
    <s v="0053"/>
    <s v="B"/>
    <s v="陈静"/>
    <s v=" 华东"/>
    <s v="华东"/>
    <s v="CP006"/>
    <s v="显示器 ViewMax 27"/>
    <n v="1299"/>
    <m/>
    <n v="12"/>
    <n v="0.95"/>
    <n v="15588"/>
    <n v="15588"/>
    <s v="已完成"/>
  </r>
  <r>
    <x v="56"/>
    <d v="2026-04-02T00:00:00"/>
    <s v="2026-04-02"/>
    <s v="KH015"/>
    <s v="佛山美的家电商贸"/>
    <s v="佛山美的家电商贸"/>
    <s v="KH015"/>
    <s v="KH015"/>
    <d v="2026-04-02T00:00:00"/>
    <s v="0054"/>
    <s v="A"/>
    <s v="刘洋"/>
    <s v="华南"/>
    <s v="华南"/>
    <s v="CP012"/>
    <s v="云存储服务（1TB/年）"/>
    <n v="599"/>
    <n v="3"/>
    <n v="3"/>
    <n v="1"/>
    <n v="1797"/>
    <n v="1797"/>
    <s v="待付款"/>
  </r>
  <r>
    <x v="57"/>
    <d v="2026-04-03T00:00:00"/>
    <s v="2026-04-03"/>
    <s v="KH014"/>
    <s v="宁波海港实业"/>
    <s v="宁波海港实业"/>
    <s v="KH014"/>
    <s v="KH014"/>
    <d v="2026-04-03T00:00:00"/>
    <s v="0055"/>
    <s v="B"/>
    <s v="赵磊"/>
    <s v="华东"/>
    <s v="华东"/>
    <s v="CP006"/>
    <s v="显示器 ViewMax 27"/>
    <n v="1299"/>
    <n v="1"/>
    <n v="1"/>
    <n v="1"/>
    <n v="1299"/>
    <n v="1299"/>
    <s v="已完成"/>
  </r>
  <r>
    <x v="58"/>
    <d v="2026-04-04T00:00:00"/>
    <s v="2026-04-04"/>
    <s v="KH019"/>
    <s v="北京中关新材"/>
    <s v="北京中关新材"/>
    <s v="KH019"/>
    <s v="KH019"/>
    <d v="2026-04-04T00:00:00"/>
    <s v="0056"/>
    <s v="B"/>
    <s v="王强"/>
    <s v="华北"/>
    <s v="华北"/>
    <s v="CP008"/>
    <s v="A4复印纸（5包/箱）"/>
    <n v="128"/>
    <m/>
    <n v="92"/>
    <n v="0.9"/>
    <n v="11776"/>
    <n v="11776"/>
    <s v="已取消"/>
  </r>
  <r>
    <x v="59"/>
    <d v="2026-04-05T00:00:00"/>
    <s v="2026-04-05"/>
    <s v="KH002"/>
    <s v="上海锦程贸易"/>
    <s v="上海锦程贸易"/>
    <s v="KH002"/>
    <s v="KH002"/>
    <d v="2026-04-05T00:00:00"/>
    <s v="0057"/>
    <s v="B"/>
    <s v="杨帆"/>
    <s v="华东"/>
    <s v="华东"/>
    <s v="CP003"/>
    <s v="碎纸机 SafeCut S8 "/>
    <n v="899"/>
    <n v="7"/>
    <n v="7"/>
    <n v="1"/>
    <n v="6293"/>
    <n v="6293"/>
    <s v="已完成"/>
  </r>
  <r>
    <x v="60"/>
    <d v="2026-04-05T00:00:00"/>
    <s v="2026-04-05"/>
    <s v="KH005"/>
    <s v="杭州云图信息"/>
    <s v="杭州云图信息"/>
    <s v="KH005"/>
    <s v="KH005"/>
    <d v="2026-04-05T00:00:00"/>
    <s v="0058"/>
    <s v="A"/>
    <s v="刘洋"/>
    <s v="华东"/>
    <s v="华东"/>
    <s v="CP010"/>
    <s v="签字笔盒装（12支）"/>
    <n v="45"/>
    <n v="94"/>
    <n v="94"/>
    <n v="0.9"/>
    <n v="4230"/>
    <n v="4230"/>
    <s v="已完成"/>
  </r>
  <r>
    <x v="61"/>
    <d v="2026-04-07T00:00:00"/>
    <s v="2026-04-07"/>
    <s v="KH005"/>
    <s v="杭州云图信息"/>
    <s v="杭州云图信息"/>
    <s v="KH005"/>
    <s v="KH005"/>
    <d v="2026-04-07T00:00:00"/>
    <s v="0059"/>
    <s v="A"/>
    <s v="王强"/>
    <s v="华东"/>
    <s v="华东"/>
    <s v="CP008"/>
    <s v="A4复印纸（5包/箱）"/>
    <n v="128"/>
    <n v="55"/>
    <n v="55"/>
    <n v="0.9"/>
    <s v="¥7,040.00"/>
    <n v="7040"/>
    <s v="已取消"/>
  </r>
  <r>
    <x v="62"/>
    <d v="2026-04-12T00:00:00"/>
    <s v="2026-04-12"/>
    <s v="KH003"/>
    <s v="广州启航教育"/>
    <s v="广州启航教育"/>
    <s v="KH003"/>
    <s v="KH003"/>
    <d v="2026-04-12T00:00:00"/>
    <s v="0060"/>
    <s v="A"/>
    <s v="孙悦"/>
    <s v="华南"/>
    <s v="华南"/>
    <s v="CP010"/>
    <s v="签字笔盒装（12支）"/>
    <n v="45"/>
    <n v="11"/>
    <n v="11"/>
    <n v="0.95"/>
    <n v="495"/>
    <n v="495"/>
    <s v="已取消"/>
  </r>
  <r>
    <x v="63"/>
    <d v="2026-04-12T00:00:00"/>
    <s v="2026-04-12"/>
    <s v="KH006"/>
    <s v="成都天府商贸"/>
    <s v="成都天府商贸"/>
    <s v="KH006"/>
    <s v="KH006"/>
    <d v="2026-04-12T00:00:00"/>
    <s v="0061"/>
    <s v="C"/>
    <s v="王强"/>
    <s v="西南"/>
    <s v="西南"/>
    <s v="CP010"/>
    <s v="签字笔盒装（12支）"/>
    <n v="45"/>
    <n v="109"/>
    <n v="109"/>
    <n v="0.85"/>
    <n v="4905"/>
    <n v="4905"/>
    <s v="已发货"/>
  </r>
  <r>
    <x v="64"/>
    <d v="2026-04-13T00:00:00"/>
    <s v="2026-04-13"/>
    <s v="KH001"/>
    <s v="北京华信科技"/>
    <s v="北京华信科技"/>
    <s v="KH001"/>
    <s v="KH001"/>
    <d v="2026-04-13T00:00:00"/>
    <s v="0062"/>
    <s v="A"/>
    <s v="王强"/>
    <s v="华北"/>
    <s v="华北"/>
    <s v="CP006"/>
    <s v="显示器 ViewMax 27"/>
    <n v="1299"/>
    <n v="3"/>
    <n v="3"/>
    <n v="1"/>
    <n v="3897"/>
    <n v="3897"/>
    <s v="已完成"/>
  </r>
  <r>
    <x v="65"/>
    <d v="2026-04-13T00:00:00"/>
    <s v="2026-04-13"/>
    <s v="KH002"/>
    <s v="上海锦程贸易"/>
    <s v="上海锦程贸易"/>
    <s v="KH002"/>
    <s v="KH002"/>
    <d v="2026-04-13T00:00:00"/>
    <s v="0063"/>
    <s v="B"/>
    <s v="张伟"/>
    <s v="华东"/>
    <s v="华东"/>
    <s v="CP009"/>
    <s v="激光硒鼓 TonerMax 12A"/>
    <n v="385"/>
    <n v="100"/>
    <n v="100"/>
    <n v="0.85"/>
    <n v="38500"/>
    <n v="38500"/>
    <s v="待付款"/>
  </r>
  <r>
    <x v="66"/>
    <d v="2026-04-13T00:00:00"/>
    <s v="2026-04-13"/>
    <s v="KH001"/>
    <s v="北京华信科技"/>
    <s v="北京华信科技"/>
    <s v="KH001"/>
    <s v="KH001"/>
    <d v="2026-04-13T00:00:00"/>
    <s v="0064"/>
    <s v="A"/>
    <s v="王强"/>
    <s v=" 华北"/>
    <s v="华北"/>
    <s v="CP006"/>
    <s v="显示器 ViewMax 27"/>
    <n v="1299"/>
    <n v="9"/>
    <n v="9"/>
    <n v="1"/>
    <n v="11691"/>
    <n v="11691"/>
    <s v="已发货"/>
  </r>
  <r>
    <x v="67"/>
    <d v="2026-04-18T00:00:00"/>
    <s v="2026-04-18"/>
    <s v="KH004"/>
    <s v="深圳蓝鲸网络"/>
    <s v="深圳蓝鲸网络"/>
    <s v="KH004"/>
    <s v="KH004"/>
    <d v="2026-04-18T00:00:00"/>
    <s v="0065"/>
    <s v="B"/>
    <s v="孙悦"/>
    <s v="华南"/>
    <s v="华南"/>
    <s v="CP002"/>
    <s v="多功能一体机 PrintMaster 300"/>
    <n v="3599"/>
    <s v="6"/>
    <n v="6"/>
    <n v="1"/>
    <n v="21594"/>
    <n v="21594"/>
    <s v="已完成"/>
  </r>
  <r>
    <x v="68"/>
    <d v="2026-04-18T00:00:00"/>
    <s v="2026-04-18"/>
    <s v="KH016"/>
    <s v="昆明滇池科技"/>
    <s v="昆明滇池科技"/>
    <s v="KH016"/>
    <s v="KH016"/>
    <d v="2026-04-18T00:00:00"/>
    <s v="0066"/>
    <s v="C"/>
    <s v="陈静"/>
    <s v="西南"/>
    <s v="西南"/>
    <s v="CP002"/>
    <s v="多功能一体机 PrintMaster 300"/>
    <n v="3599"/>
    <m/>
    <n v="5"/>
    <n v="1"/>
    <n v="17995"/>
    <n v="17995"/>
    <s v="已发货"/>
  </r>
  <r>
    <x v="69"/>
    <d v="2026-04-19T00:00:00"/>
    <s v="2026-04-19"/>
    <s v="KH006"/>
    <s v="成都天府商贸"/>
    <s v="成都天府商贸"/>
    <s v="KH006"/>
    <s v="KH006"/>
    <d v="2026-04-19T00:00:00"/>
    <s v="0067"/>
    <s v="C"/>
    <s v="刘洋"/>
    <s v="西南"/>
    <s v="西南"/>
    <s v="CP011"/>
    <s v="办公软件年费授权"/>
    <n v="699"/>
    <s v="9"/>
    <n v="9"/>
    <n v="1"/>
    <n v="6291"/>
    <n v="6291"/>
    <s v="待付款"/>
  </r>
  <r>
    <x v="70"/>
    <d v="2026-04-19T00:00:00"/>
    <s v="2026-04-19"/>
    <s v="KH014"/>
    <s v="宁波海港实业"/>
    <s v="宁波海港实业"/>
    <s v="KH014"/>
    <s v="KH014"/>
    <d v="2026-04-19T00:00:00"/>
    <s v="0068"/>
    <s v="B"/>
    <s v="杨帆"/>
    <s v="华东"/>
    <s v="华东"/>
    <s v="CP007"/>
    <s v="无线键鼠套装 KeyFree 2.0"/>
    <n v="299"/>
    <n v="10"/>
    <n v="10"/>
    <n v="0.95"/>
    <n v="2990"/>
    <n v="2990"/>
    <s v="已完成"/>
  </r>
  <r>
    <x v="71"/>
    <d v="2026-04-19T00:00:00"/>
    <s v="2026-04-19"/>
    <s v="KH015"/>
    <s v="佛山美的家电商贸"/>
    <s v="佛山美的家电商贸"/>
    <s v="KH015"/>
    <s v="KH015"/>
    <d v="2026-04-19T00:00:00"/>
    <s v="0069"/>
    <s v="A"/>
    <s v="陈静"/>
    <s v="华南"/>
    <s v="华南"/>
    <s v="CP002"/>
    <s v="多功能一体机 PrintMaster 300"/>
    <n v="3599"/>
    <n v="8"/>
    <n v="8"/>
    <n v="1"/>
    <n v="28792"/>
    <n v="28792"/>
    <s v="已完成"/>
  </r>
  <r>
    <x v="72"/>
    <d v="2026-04-20T00:00:00"/>
    <s v="2026-04-20"/>
    <s v="KH013"/>
    <s v="石家庄振华商贸"/>
    <s v="石家庄振华商贸"/>
    <s v="KH013"/>
    <s v="KH013"/>
    <d v="2026-04-20T00:00:00"/>
    <s v="0070"/>
    <s v="C"/>
    <s v="杨帆"/>
    <s v="华北"/>
    <s v="华北"/>
    <s v="CP003"/>
    <s v="碎纸机 SafeCut S8"/>
    <n v="899"/>
    <n v="7"/>
    <n v="7"/>
    <n v="1"/>
    <n v="6293"/>
    <n v="6293"/>
    <s v="已完成"/>
  </r>
  <r>
    <x v="73"/>
    <d v="2026-04-21T00:00:00"/>
    <s v="2026-04-21"/>
    <s v="KH018"/>
    <s v="厦门鹭岛文创"/>
    <s v="厦门鹭岛文创"/>
    <s v="KH018"/>
    <s v="KH018"/>
    <d v="2026-04-21T00:00:00"/>
    <s v="0071"/>
    <s v="C"/>
    <s v="赵磊"/>
    <s v="华南"/>
    <s v="华南"/>
    <s v="CP009"/>
    <s v="激光硒鼓 TonerMax 12A"/>
    <n v="385"/>
    <n v="73"/>
    <n v="73"/>
    <n v="0.9"/>
    <n v="28105"/>
    <n v="28105"/>
    <s v="已完成"/>
  </r>
  <r>
    <x v="74"/>
    <d v="2026-04-22T00:00:00"/>
    <s v="2026-04-22"/>
    <s v="KH003"/>
    <s v="广州启航教育"/>
    <s v="厦门鹭岛文创"/>
    <s v="KH018"/>
    <s v="KH003"/>
    <d v="2026-04-22T00:00:00"/>
    <s v="0072"/>
    <s v="A"/>
    <s v="杨帆"/>
    <s v="华南"/>
    <s v="华南"/>
    <s v="CP007"/>
    <s v="无线键鼠套装 KeyFree 2.0"/>
    <n v="299"/>
    <n v="12"/>
    <n v="12"/>
    <n v="0.95"/>
    <n v="3588"/>
    <n v="3588"/>
    <s v="已发货"/>
  </r>
  <r>
    <x v="75"/>
    <d v="2026-04-23T00:00:00"/>
    <s v="2026-04-23"/>
    <s v="KH006"/>
    <s v="成都天府商贸"/>
    <s v="成都天府商贸"/>
    <s v="KH006"/>
    <s v="KH006"/>
    <d v="2026-04-23T00:00:00"/>
    <s v="0073"/>
    <s v="C"/>
    <s v="赵磊"/>
    <s v="西南"/>
    <s v="西南"/>
    <s v="CP011"/>
    <s v="办公软件年费授权"/>
    <n v="699"/>
    <n v="39"/>
    <n v="39"/>
    <n v="0.95"/>
    <n v="27261"/>
    <n v="27261"/>
    <s v="已完成"/>
  </r>
  <r>
    <x v="76"/>
    <d v="2026-04-23T00:00:00"/>
    <s v="2026-04-23"/>
    <s v="KH008"/>
    <s v="南京紫金山软件园运营"/>
    <s v="南京紫金山软件园运营"/>
    <s v="KH008"/>
    <s v="KH008"/>
    <d v="2026-04-23T00:00:00"/>
    <s v="0074"/>
    <s v="C"/>
    <s v="王强"/>
    <s v="华东"/>
    <s v="华东"/>
    <s v="CP008"/>
    <s v="A4复印纸（5包/箱）"/>
    <n v="128"/>
    <n v="104"/>
    <n v="104"/>
    <n v="0.85"/>
    <n v="13312"/>
    <n v="13312"/>
    <s v="已完成"/>
  </r>
  <r>
    <x v="77"/>
    <d v="2026-04-26T00:00:00"/>
    <s v="2026-04-26"/>
    <s v="KH005"/>
    <s v="杭州云图信息"/>
    <s v="杭州云图信息"/>
    <s v="KH005"/>
    <s v="KH005"/>
    <d v="2026-04-26T00:00:00"/>
    <s v="0075"/>
    <s v="A"/>
    <s v="孙悦"/>
    <s v="华东"/>
    <s v="华东"/>
    <s v="CP003"/>
    <s v="碎纸机 SafeCut S8"/>
    <n v="899"/>
    <n v="5"/>
    <n v="5"/>
    <n v="1"/>
    <s v="¥4,495.00"/>
    <n v="4495"/>
    <s v="已完成"/>
  </r>
  <r>
    <x v="78"/>
    <d v="2026-04-26T00:00:00"/>
    <s v="2026-04-26"/>
    <s v="KH010"/>
    <s v="苏州创智科技"/>
    <s v="苏州创智科技"/>
    <s v="KH010"/>
    <s v="KH010"/>
    <d v="2026-04-26T00:00:00"/>
    <s v="0076"/>
    <s v="A"/>
    <s v="王强"/>
    <s v="华东"/>
    <s v="华东"/>
    <s v="CP005"/>
    <s v="台式电脑 PowerDesk 500"/>
    <n v="4299"/>
    <s v="6"/>
    <n v="6"/>
    <n v="1"/>
    <n v="25794"/>
    <n v="25794"/>
    <s v="已完成"/>
  </r>
  <r>
    <x v="79"/>
    <d v="2026-04-27T00:00:00"/>
    <s v="2026-04-27"/>
    <s v="KH002"/>
    <s v="上海锦程贸易"/>
    <s v="上海锦程贸易"/>
    <s v="KH002"/>
    <s v="KH002"/>
    <d v="2026-04-27T00:00:00"/>
    <s v="0077"/>
    <s v="B"/>
    <s v="赵磊"/>
    <s v="华东"/>
    <s v="华东"/>
    <s v="CP005"/>
    <s v="台式电脑 PowerDesk 500"/>
    <n v="4299"/>
    <m/>
    <n v="8"/>
    <n v="1"/>
    <n v="34392"/>
    <n v="34392"/>
    <s v="已完成"/>
  </r>
  <r>
    <x v="80"/>
    <d v="2026-04-28T00:00:00"/>
    <s v="2026-04-28"/>
    <s v="KH010"/>
    <s v="苏州创智科技"/>
    <s v="苏州创智科技"/>
    <s v="KH010"/>
    <s v="KH010"/>
    <d v="2026-04-28T00:00:00"/>
    <s v="0078"/>
    <s v="A"/>
    <s v="杨帆"/>
    <s v="华东"/>
    <s v="华东"/>
    <s v="CP006"/>
    <s v="显示器 ViewMax 27"/>
    <n v="1299"/>
    <n v="7"/>
    <n v="7"/>
    <n v="1"/>
    <n v="9093"/>
    <n v="9093"/>
    <s v="已完成"/>
  </r>
  <r>
    <x v="81"/>
    <d v="2026-04-28T00:00:00"/>
    <s v="2026-04-28"/>
    <s v="KH015"/>
    <s v="佛山美的家电商贸"/>
    <s v="佛山美的家电商贸"/>
    <s v="KH015"/>
    <s v="KH015"/>
    <d v="2026-04-28T00:00:00"/>
    <s v="0079"/>
    <s v="A"/>
    <s v="刘洋"/>
    <s v="华南区"/>
    <s v="华南"/>
    <s v="CP008"/>
    <s v="A4复印纸（5包/箱）"/>
    <n v="128"/>
    <n v="96"/>
    <n v="96"/>
    <n v="0.9"/>
    <n v="12288"/>
    <n v="12288"/>
    <s v="已完成"/>
  </r>
  <r>
    <x v="82"/>
    <d v="2026-04-28T00:00:00"/>
    <s v="2026-04-28"/>
    <s v="KH012"/>
    <s v="长沙麓山科技"/>
    <s v="长沙麓山科技"/>
    <s v="KH012"/>
    <s v="KH012"/>
    <d v="2026-04-28T00:00:00"/>
    <s v="0080"/>
    <s v="B"/>
    <s v="王强"/>
    <s v="华中"/>
    <s v="华中"/>
    <s v="CP002"/>
    <s v="多功能一体机 PrintMaster 300"/>
    <n v="3599"/>
    <n v="7"/>
    <n v="7"/>
    <n v="1"/>
    <n v="25193"/>
    <n v="25193"/>
    <s v="已完成"/>
  </r>
  <r>
    <x v="83"/>
    <d v="2026-04-29T00:00:00"/>
    <s v="2026-04-29"/>
    <s v="KH011"/>
    <s v="重庆山城办公设备"/>
    <s v="重庆山城办公设备"/>
    <s v="KH011"/>
    <s v="KH011"/>
    <d v="2026-04-29T00:00:00"/>
    <s v="0081"/>
    <s v="B"/>
    <s v="赵磊"/>
    <s v="西南"/>
    <s v="西南"/>
    <s v="CP005"/>
    <s v="台式电脑 PowerDesk 500"/>
    <n v="4299"/>
    <n v="6"/>
    <n v="6"/>
    <n v="1"/>
    <n v="25794"/>
    <n v="25794"/>
    <s v="待付款"/>
  </r>
  <r>
    <x v="84"/>
    <d v="2026-04-30T00:00:00"/>
    <s v="2026-04-30"/>
    <s v="KH015"/>
    <s v="佛山美的家电商贸"/>
    <s v="佛山美的家电商贸"/>
    <s v="KH015"/>
    <s v="KH015"/>
    <d v="2026-04-30T00:00:00"/>
    <s v="0082"/>
    <s v="A"/>
    <s v="杨帆"/>
    <s v="华南"/>
    <s v="华南"/>
    <s v="CP011"/>
    <s v="办公软件年费授权"/>
    <n v="699"/>
    <n v="32"/>
    <n v="32"/>
    <n v="0.95"/>
    <n v="22368"/>
    <n v="22368"/>
    <s v="已完成"/>
  </r>
  <r>
    <x v="85"/>
    <d v="2026-05-01T00:00:00"/>
    <s v="2026-05-01"/>
    <s v="KH015"/>
    <s v="佛山美的家电商贸"/>
    <s v="佛山美的家电商贸"/>
    <s v="KH015"/>
    <s v="KH015"/>
    <d v="2026-05-01T00:00:00"/>
    <s v="0083"/>
    <s v="A"/>
    <s v="陈静"/>
    <s v="华南"/>
    <s v="华南"/>
    <s v="CP009"/>
    <s v="激光硒鼓 TonerMax 12A"/>
    <n v="385"/>
    <n v="94"/>
    <n v="94"/>
    <n v="0.9"/>
    <n v="36190"/>
    <n v="36190"/>
    <s v="已完成"/>
  </r>
  <r>
    <x v="86"/>
    <s v="2026.5.1"/>
    <s v="2026-05-01"/>
    <s v="KH015"/>
    <s v="佛山美的家电商贸"/>
    <s v="佛山美的家电商贸"/>
    <s v="KH015"/>
    <s v="KH015"/>
    <d v="2026-05-01T00:00:00"/>
    <s v="0084"/>
    <s v="A"/>
    <s v="陈静"/>
    <s v="华南"/>
    <s v="华南"/>
    <s v="CP010"/>
    <s v="签字笔盒装（12支）"/>
    <n v="45"/>
    <n v="75"/>
    <n v="75"/>
    <n v="0.9"/>
    <n v="3375"/>
    <n v="3375"/>
    <s v="已发货"/>
  </r>
  <r>
    <x v="87"/>
    <d v="2026-05-03T00:00:00"/>
    <s v="2026-05-03"/>
    <s v="KH007"/>
    <s v="武汉长江实业"/>
    <s v="武汉长江实业"/>
    <s v="KH007"/>
    <s v="KH007"/>
    <d v="2026-05-03T00:00:00"/>
    <s v="0085"/>
    <s v="B"/>
    <s v="张伟"/>
    <s v="华中"/>
    <s v="华中"/>
    <s v="CP008"/>
    <s v="A4复印纸（5包/箱）"/>
    <n v="128"/>
    <s v="34"/>
    <n v="34"/>
    <n v="0.95"/>
    <n v="4352"/>
    <n v="4352"/>
    <s v="已取消"/>
  </r>
  <r>
    <x v="88"/>
    <d v="2026-05-03T00:00:00"/>
    <s v="2026-05-03"/>
    <s v="KH003"/>
    <s v="广州启航教育"/>
    <s v="广州启航教育"/>
    <s v="KH003"/>
    <s v="KH003"/>
    <d v="2026-05-03T00:00:00"/>
    <s v="0086"/>
    <s v="A"/>
    <s v="刘洋"/>
    <s v="华南"/>
    <s v="华南"/>
    <s v="CP012"/>
    <s v="云存储服务（1TB/年）"/>
    <n v="599"/>
    <n v="31"/>
    <n v="31"/>
    <n v="0.95"/>
    <n v="18569"/>
    <n v="18569"/>
    <s v="已发货"/>
  </r>
  <r>
    <x v="89"/>
    <s v="2026/5/3"/>
    <s v="2026-05-03"/>
    <s v="KH003"/>
    <s v="广州启航教育"/>
    <s v="广州启航教育"/>
    <s v="KH003"/>
    <s v="KH003"/>
    <d v="2026-05-03T00:00:00"/>
    <s v="0087"/>
    <s v="A"/>
    <s v="赵磊"/>
    <s v="华南"/>
    <s v="华南"/>
    <s v="CP006"/>
    <s v="显示器 ViewMax 27"/>
    <n v="1299"/>
    <n v="10"/>
    <n v="10"/>
    <n v="0.95"/>
    <n v="12990"/>
    <n v="12990"/>
    <s v="已发货"/>
  </r>
  <r>
    <x v="90"/>
    <d v="2026-05-04T00:00:00"/>
    <s v="2026-05-04"/>
    <s v="KH013"/>
    <s v="石家庄振华商贸"/>
    <s v="石家庄振华商贸"/>
    <s v="KH013"/>
    <s v="KH013"/>
    <d v="2026-05-04T00:00:00"/>
    <s v="0088"/>
    <s v="C"/>
    <s v="张伟"/>
    <s v="华北"/>
    <s v="华北"/>
    <s v="CP008"/>
    <s v="A4复印纸（5包/箱）"/>
    <n v="128"/>
    <n v="23"/>
    <n v="23"/>
    <n v="0.95"/>
    <n v="2944"/>
    <n v="2944"/>
    <s v="已完成"/>
  </r>
  <r>
    <x v="91"/>
    <d v="2026-05-05T00:00:00"/>
    <s v="2026-05-05"/>
    <s v="KH008"/>
    <s v="南京紫金山软件园运营"/>
    <s v="南京紫金山软件园运营"/>
    <s v="KH008"/>
    <s v="KH008"/>
    <d v="2026-05-05T00:00:00"/>
    <s v="0089"/>
    <s v="C"/>
    <s v="刘洋"/>
    <s v="华东"/>
    <s v="华东"/>
    <s v="CP004"/>
    <s v="笔记本电脑 TechBook 14"/>
    <n v="5699"/>
    <n v="12"/>
    <n v="12"/>
    <n v="0.95"/>
    <n v="68388"/>
    <n v="68388"/>
    <s v="已取消"/>
  </r>
  <r>
    <x v="92"/>
    <d v="2026-05-06T00:00:00"/>
    <s v="2026-05-06"/>
    <s v="KH018"/>
    <s v="厦门鹭岛文创"/>
    <s v="厦门鹭岛文创"/>
    <s v="KH018"/>
    <s v="KH018"/>
    <d v="2026-05-06T00:00:00"/>
    <s v="0090"/>
    <s v="C"/>
    <s v="杨帆"/>
    <s v="华南"/>
    <s v="华南"/>
    <s v="CP009"/>
    <s v="激光硒鼓 TonerMax 12A"/>
    <n v="385"/>
    <s v="53"/>
    <n v="53"/>
    <n v="0.9"/>
    <n v="20405"/>
    <n v="20405"/>
    <s v="已完成"/>
  </r>
  <r>
    <x v="93"/>
    <d v="2026-05-06T00:00:00"/>
    <s v="2026-05-06"/>
    <s v="KH012"/>
    <s v="长沙麓山科技"/>
    <s v="长沙麓山科技"/>
    <s v="KH012"/>
    <s v="KH012"/>
    <d v="2026-05-06T00:00:00"/>
    <s v="0091"/>
    <s v="B"/>
    <s v="陈静"/>
    <s v="华中"/>
    <s v="华中"/>
    <s v="CP005"/>
    <s v="台式电脑 PowerDesk 500"/>
    <n v="4299"/>
    <n v="6"/>
    <n v="6"/>
    <n v="1"/>
    <n v="25794"/>
    <n v="25794"/>
    <s v="已完成"/>
  </r>
  <r>
    <x v="94"/>
    <s v="2026/5/6"/>
    <s v="2026-05-06"/>
    <s v="KH010"/>
    <s v="苏州创智科技"/>
    <s v="苏州创智科技"/>
    <s v="KH010"/>
    <s v="KH010"/>
    <d v="2026-05-06T00:00:00"/>
    <s v="0092"/>
    <s v="A"/>
    <s v="陈静"/>
    <s v="华东"/>
    <s v="华东"/>
    <s v="CP001"/>
    <s v="激光打印机 ProLaser 200"/>
    <n v="2499"/>
    <n v="6"/>
    <n v="6"/>
    <n v="1"/>
    <n v="14994"/>
    <n v="14994"/>
    <s v="待付款"/>
  </r>
  <r>
    <x v="95"/>
    <d v="2026-05-06T00:00:00"/>
    <s v="2026-05-06"/>
    <s v="KH009"/>
    <s v="天津海河传媒"/>
    <s v="天津海河传媒"/>
    <s v="KH009"/>
    <s v="KH009"/>
    <d v="2026-05-06T00:00:00"/>
    <s v="0093"/>
    <s v="C"/>
    <s v="赵磊"/>
    <s v="华北"/>
    <s v="华北"/>
    <s v="CP006"/>
    <s v="显示器 ViewMax 27"/>
    <n v="1299"/>
    <s v="9"/>
    <n v="9"/>
    <n v="1"/>
    <n v="11691"/>
    <n v="11691"/>
    <s v="已完成"/>
  </r>
  <r>
    <x v="96"/>
    <d v="2026-05-08T00:00:00"/>
    <s v="2026-05-08"/>
    <s v="KH011"/>
    <s v="重庆山城办公设备"/>
    <s v="重庆山城办公设备"/>
    <s v="KH011"/>
    <s v="KH011"/>
    <d v="2026-05-08T00:00:00"/>
    <s v="0094"/>
    <s v="B"/>
    <s v="陈静"/>
    <s v="西南区"/>
    <s v="西南"/>
    <s v="CP011"/>
    <s v="办公软件年费授权"/>
    <n v="699"/>
    <n v="6"/>
    <n v="6"/>
    <n v="1"/>
    <s v="¥4,194.00"/>
    <n v="4194"/>
    <s v="已取消"/>
  </r>
  <r>
    <x v="97"/>
    <d v="2026-05-08T00:00:00"/>
    <s v="2026-05-08"/>
    <s v="KH012"/>
    <s v="长沙麓山科技"/>
    <s v="武汉长江实业"/>
    <s v="KH007"/>
    <s v="KH012"/>
    <d v="2026-05-08T00:00:00"/>
    <s v="0095"/>
    <s v="B"/>
    <s v="杨帆"/>
    <s v="华中"/>
    <s v="华中"/>
    <s v="CP011"/>
    <s v="办公软件年费授权"/>
    <n v="699"/>
    <n v="35"/>
    <n v="35"/>
    <n v="0.95"/>
    <n v="24465"/>
    <n v="24465"/>
    <s v="已完成"/>
  </r>
  <r>
    <x v="98"/>
    <s v="2026年5月8日"/>
    <s v="2026-05-08"/>
    <s v="KH013"/>
    <s v="石家庄振华商贸"/>
    <s v="石家庄振华商贸"/>
    <s v="KH013"/>
    <s v="KH013"/>
    <d v="2026-05-08T00:00:00"/>
    <s v="0096"/>
    <s v="C"/>
    <s v="王强"/>
    <s v="华北"/>
    <s v="华北"/>
    <s v="CP006"/>
    <s v="显示器 ViewMax 27"/>
    <n v="1299"/>
    <n v="2"/>
    <n v="2"/>
    <n v="1"/>
    <n v="2598"/>
    <n v="2598"/>
    <s v="已发货"/>
  </r>
  <r>
    <x v="99"/>
    <s v="2026年5月9日"/>
    <s v="2026-05-09"/>
    <s v="KH019"/>
    <s v="北京中关新材"/>
    <s v="北京中关新材"/>
    <s v="KH019"/>
    <s v="KH019"/>
    <d v="2026-05-09T00:00:00"/>
    <s v="0097"/>
    <s v="B"/>
    <s v="赵磊"/>
    <s v="华北区"/>
    <s v="华北"/>
    <s v="CP012"/>
    <s v="云存储服务（1TB/年）"/>
    <n v="599"/>
    <n v="35"/>
    <n v="35"/>
    <n v="0.95"/>
    <n v="20965"/>
    <n v="20965"/>
    <s v="已发货"/>
  </r>
  <r>
    <x v="100"/>
    <d v="2026-05-09T00:00:00"/>
    <s v="2026-05-09"/>
    <s v="KH019"/>
    <s v="北京中关新材"/>
    <s v="北京中关新材"/>
    <s v="KH019"/>
    <s v="KH019"/>
    <d v="2026-05-09T00:00:00"/>
    <s v="0098"/>
    <s v="B"/>
    <s v="孙悦"/>
    <s v="华北 "/>
    <s v="华北"/>
    <s v="CP012"/>
    <s v="云存储服务（1TB/年）"/>
    <n v="599"/>
    <n v="3"/>
    <n v="3"/>
    <n v="1"/>
    <n v="1797"/>
    <n v="1797"/>
    <s v="已完成"/>
  </r>
  <r>
    <x v="101"/>
    <d v="2026-05-10T00:00:00"/>
    <s v="2026-05-10"/>
    <s v="KH008"/>
    <s v="南京紫金山软件园运营"/>
    <s v="南京紫金山软件园运营"/>
    <s v="KH008"/>
    <s v="KH008"/>
    <d v="2026-05-10T00:00:00"/>
    <s v="0099"/>
    <s v="C"/>
    <s v="刘洋"/>
    <s v="华东"/>
    <s v="华东"/>
    <s v="CP011"/>
    <s v="办公软件年费授权"/>
    <n v="699"/>
    <s v="10"/>
    <n v="10"/>
    <n v="0.95"/>
    <n v="6990"/>
    <n v="6990"/>
    <s v="待付款"/>
  </r>
  <r>
    <x v="102"/>
    <d v="2026-05-11T00:00:00"/>
    <s v="2026-05-11"/>
    <s v="KH005"/>
    <s v="杭州云图信息"/>
    <s v="杭州云图信息"/>
    <s v="KH005"/>
    <s v="KH005"/>
    <d v="2026-05-11T00:00:00"/>
    <s v="0100"/>
    <s v="A"/>
    <s v="王强"/>
    <s v="华东"/>
    <s v="华东"/>
    <s v="CP011"/>
    <s v="办公软件年费授权 "/>
    <n v="699"/>
    <n v="33"/>
    <n v="33"/>
    <n v="0.95"/>
    <n v="23067"/>
    <n v="23067"/>
    <s v="已完成"/>
  </r>
  <r>
    <x v="103"/>
    <d v="2026-05-12T00:00:00"/>
    <s v="2026-05-12"/>
    <s v="KH016"/>
    <s v="昆明滇池科技"/>
    <s v="昆明滇池科技"/>
    <s v="KH016"/>
    <s v="KH016"/>
    <d v="2026-05-12T00:00:00"/>
    <s v="0101"/>
    <s v="C"/>
    <s v="赵磊"/>
    <s v="西南"/>
    <s v="西南"/>
    <s v="CP006"/>
    <s v="显示器 ViewMax 27"/>
    <n v="1299"/>
    <n v="11"/>
    <n v="11"/>
    <n v="0.95"/>
    <n v="14289"/>
    <n v="14289"/>
    <s v="已完成"/>
  </r>
  <r>
    <x v="31"/>
    <d v="2026-05-12T00:00:00"/>
    <s v="2026-05-12"/>
    <s v="KH014"/>
    <s v="宁波海港实业"/>
    <s v="宁波海港实业"/>
    <s v="KH014"/>
    <s v="KH014"/>
    <d v="2026-05-12T00:00:00"/>
    <s v="0102"/>
    <s v="B"/>
    <s v="王强"/>
    <s v="华东"/>
    <s v="华东"/>
    <s v="CP004"/>
    <s v="笔记本电脑 TechBook 14"/>
    <n v="5699"/>
    <n v="10"/>
    <n v="10"/>
    <n v="0.95"/>
    <n v="56990"/>
    <n v="56990"/>
    <s v="已发货"/>
  </r>
  <r>
    <x v="104"/>
    <d v="2026-05-12T00:00:00"/>
    <s v="2026-05-12"/>
    <s v="KH003"/>
    <s v="广州启航教育"/>
    <s v="广州启航教育"/>
    <s v="KH003"/>
    <s v="KH003"/>
    <d v="2026-05-12T00:00:00"/>
    <s v="0103"/>
    <s v="A"/>
    <s v="张伟"/>
    <s v="华南"/>
    <s v="华南"/>
    <s v="CP011"/>
    <s v="办公软件年费授权"/>
    <n v="699"/>
    <n v="38"/>
    <n v="38"/>
    <n v="0.95"/>
    <n v="26562"/>
    <n v="26562"/>
    <s v="待付款"/>
  </r>
  <r>
    <x v="105"/>
    <s v="2026.5.12"/>
    <s v="2026-05-12"/>
    <s v="KH017"/>
    <s v="郑州中原物流"/>
    <s v="郑州中原物流"/>
    <s v="KH017"/>
    <s v="KH017"/>
    <d v="2026-05-12T00:00:00"/>
    <s v="0104"/>
    <s v="B"/>
    <s v="王强"/>
    <s v="华中区"/>
    <s v="华中"/>
    <s v="CP005"/>
    <s v="台式电脑 PowerDesk 500"/>
    <n v="4299"/>
    <n v="5"/>
    <n v="5"/>
    <n v="1"/>
    <n v="21495"/>
    <n v="21495"/>
    <s v="已完成"/>
  </r>
  <r>
    <x v="106"/>
    <d v="2026-06-03T00:00:00"/>
    <s v="2026-06-03"/>
    <s v="KH009"/>
    <s v="天津海河传媒"/>
    <s v="天津海河传媒"/>
    <s v="KH009"/>
    <s v="KH009"/>
    <d v="2026-06-03T00:00:00"/>
    <s v="0126"/>
    <s v="C"/>
    <s v="孙悦"/>
    <s v="华北"/>
    <s v="华北"/>
    <s v="CP002"/>
    <s v="多功能一体机 PrintMaster 300"/>
    <n v="3599"/>
    <n v="11"/>
    <n v="11"/>
    <n v="0.95"/>
    <n v="39589"/>
    <n v="39589"/>
    <s v="已完成"/>
  </r>
  <r>
    <x v="107"/>
    <d v="2026-05-13T00:00:00"/>
    <s v="2026-05-13"/>
    <s v="KH019"/>
    <s v="北京中关新材"/>
    <s v="北京中关新材"/>
    <s v="KH019"/>
    <s v="KH019"/>
    <d v="2026-05-13T00:00:00"/>
    <s v="0105"/>
    <s v="B"/>
    <s v="孙悦"/>
    <s v="华北"/>
    <s v="华北"/>
    <s v="CP009"/>
    <s v="激光硒鼓 TonerMax 12A"/>
    <n v="385"/>
    <n v="26"/>
    <n v="26"/>
    <n v="0.95"/>
    <n v="10010"/>
    <n v="10010"/>
    <s v="已完成"/>
  </r>
  <r>
    <x v="108"/>
    <d v="2026-05-14T00:00:00"/>
    <s v="2026-05-14"/>
    <s v="KH014"/>
    <s v="宁波海港实业"/>
    <s v="宁波海港实业"/>
    <s v="KH014"/>
    <s v="KH014"/>
    <d v="2026-05-14T00:00:00"/>
    <s v="0106"/>
    <s v="B"/>
    <s v="王强"/>
    <s v="华东"/>
    <s v="华东"/>
    <s v="CP010"/>
    <s v="签字笔盒装（12支）"/>
    <n v="45"/>
    <s v="97"/>
    <n v="97"/>
    <n v="0.9"/>
    <n v="4365"/>
    <n v="4365"/>
    <s v="已完成"/>
  </r>
  <r>
    <x v="109"/>
    <d v="2026-05-14T00:00:00"/>
    <s v="2026-05-14"/>
    <s v="KH012"/>
    <s v="长沙麓山科技"/>
    <s v="长沙麓山科技"/>
    <s v="KH012"/>
    <s v="KH012"/>
    <d v="2026-05-14T00:00:00"/>
    <s v="0107"/>
    <s v="B"/>
    <s v="陈静"/>
    <s v="华中"/>
    <s v="华中"/>
    <s v="CP012"/>
    <s v="云存储服务（1TB/年） "/>
    <n v="599"/>
    <n v="3"/>
    <n v="3"/>
    <n v="1"/>
    <n v="1797"/>
    <n v="1797"/>
    <s v="已完成"/>
  </r>
  <r>
    <x v="110"/>
    <d v="2026-05-15T00:00:00"/>
    <s v="2026-05-15"/>
    <s v="KH006"/>
    <s v="成都天府商贸"/>
    <s v="成都天府商贸"/>
    <s v="KH006"/>
    <s v="KH006"/>
    <d v="2026-05-15T00:00:00"/>
    <s v="0108"/>
    <s v="C"/>
    <s v="赵磊"/>
    <s v="西南"/>
    <s v="西南"/>
    <s v="CP008"/>
    <s v="A4复印纸（5包/箱）"/>
    <n v="128"/>
    <n v="69"/>
    <n v="69"/>
    <n v="0.9"/>
    <s v="¥8,832.00"/>
    <n v="8832"/>
    <s v="已完成"/>
  </r>
  <r>
    <x v="111"/>
    <s v="2026年5月18日"/>
    <s v="2026-05-18"/>
    <s v="KH005"/>
    <s v="杭州云图信息"/>
    <s v="杭州云图信息"/>
    <s v="KH005"/>
    <s v="KH005"/>
    <d v="2026-05-18T00:00:00"/>
    <s v="0109"/>
    <s v="A"/>
    <s v="孙悦"/>
    <s v="华东区"/>
    <s v="华东"/>
    <s v="CP010"/>
    <s v="签字笔盒装（12支）"/>
    <n v="45"/>
    <n v="15"/>
    <n v="15"/>
    <n v="0.95"/>
    <n v="675"/>
    <n v="675"/>
    <s v="已完成"/>
  </r>
  <r>
    <x v="112"/>
    <d v="2026-05-20T00:00:00"/>
    <s v="2026-05-20"/>
    <s v="KH002"/>
    <s v="上海锦程贸易"/>
    <s v="上海锦程贸易"/>
    <s v="KH002"/>
    <s v="KH002"/>
    <d v="2026-05-20T00:00:00"/>
    <s v="0110"/>
    <s v="B"/>
    <s v="陈静"/>
    <s v="华东区"/>
    <s v="华东"/>
    <s v="CP008"/>
    <s v="A4复印纸（5包/箱）"/>
    <n v="128"/>
    <n v="100"/>
    <n v="100"/>
    <n v="0.85"/>
    <n v="12800"/>
    <n v="12800"/>
    <s v="已完成"/>
  </r>
  <r>
    <x v="113"/>
    <s v="2026年5月21日"/>
    <s v="2026-05-21"/>
    <s v="KH001"/>
    <s v="北京华信科技"/>
    <s v="北京华信科技"/>
    <s v="KH001"/>
    <s v="KH001"/>
    <d v="2026-05-21T00:00:00"/>
    <s v="0111"/>
    <s v="A"/>
    <s v="李娜"/>
    <s v="华北"/>
    <s v="华北"/>
    <s v="CP008"/>
    <s v="A4复印纸（5包/箱）"/>
    <n v="128"/>
    <n v="114"/>
    <n v="114"/>
    <n v="0.85"/>
    <n v="14592"/>
    <n v="14592"/>
    <s v="已完成"/>
  </r>
  <r>
    <x v="114"/>
    <d v="2026-05-21T00:00:00"/>
    <s v="2026-05-21"/>
    <s v="KH008"/>
    <s v="南京紫金山软件园运营"/>
    <s v="南京紫金山软件园运营"/>
    <s v="KH008"/>
    <s v="KH008"/>
    <d v="2026-05-21T00:00:00"/>
    <s v="0112"/>
    <s v="C"/>
    <s v="刘洋"/>
    <s v="华东"/>
    <s v="华东"/>
    <s v="CP011"/>
    <s v="办公软件年费授权"/>
    <n v="699"/>
    <n v="12"/>
    <n v="12"/>
    <n v="0.95"/>
    <n v="8388"/>
    <n v="8388"/>
    <s v="已完成"/>
  </r>
  <r>
    <x v="115"/>
    <d v="2026-05-22T00:00:00"/>
    <s v="2026-05-22"/>
    <s v="KH019"/>
    <s v="北京中关新材"/>
    <s v="北京中关新材"/>
    <s v="KH019"/>
    <s v="KH019"/>
    <d v="2026-05-22T00:00:00"/>
    <s v="0113"/>
    <s v="B"/>
    <s v="赵磊"/>
    <s v="华北"/>
    <s v="华北"/>
    <s v="CP004"/>
    <s v="笔记本电脑 TechBook 14"/>
    <n v="5699"/>
    <n v="3"/>
    <n v="3"/>
    <n v="1"/>
    <n v="17097"/>
    <n v="17097"/>
    <s v="已发货"/>
  </r>
  <r>
    <x v="116"/>
    <d v="2026-05-23T00:00:00"/>
    <s v="2026-05-23"/>
    <s v="KH009"/>
    <s v="天津海河传媒"/>
    <s v="天津海河传媒"/>
    <s v="KH009"/>
    <s v="KH009"/>
    <d v="2026-05-23T00:00:00"/>
    <s v="0114"/>
    <s v="C"/>
    <s v="陈静"/>
    <s v="华北"/>
    <s v="华北"/>
    <s v="CP006"/>
    <s v="显示器 ViewMax 27"/>
    <n v="1299"/>
    <n v="4"/>
    <n v="4"/>
    <n v="1"/>
    <n v="5196"/>
    <n v="5196"/>
    <s v="已发货"/>
  </r>
  <r>
    <x v="117"/>
    <d v="2026-05-23T00:00:00"/>
    <s v="2026-05-23"/>
    <s v="KH008"/>
    <s v="南京紫金山软件园运营"/>
    <s v="南京紫金山软件园运营"/>
    <s v="KH008"/>
    <s v="KH008"/>
    <d v="2026-05-23T00:00:00"/>
    <s v="0115"/>
    <s v="C"/>
    <s v="孙悦"/>
    <s v="华东"/>
    <s v="华东"/>
    <s v="CP012"/>
    <s v="云存储服务（1TB/年）"/>
    <n v="599"/>
    <n v="40"/>
    <n v="40"/>
    <n v="0.95"/>
    <n v="23960"/>
    <n v="23960"/>
    <s v="已完成"/>
  </r>
  <r>
    <x v="118"/>
    <s v="2026年5月23日"/>
    <s v="2026-05-23"/>
    <s v="KH018"/>
    <s v="厦门鹭岛文创"/>
    <s v="厦门鹭岛文创"/>
    <s v="KH018"/>
    <s v="KH018"/>
    <d v="2026-05-23T00:00:00"/>
    <s v="0116"/>
    <s v="C"/>
    <s v="李娜"/>
    <s v="华南"/>
    <s v="华南"/>
    <s v="CP010"/>
    <s v="签字笔盒装（12支）"/>
    <n v="45"/>
    <n v="24"/>
    <n v="24"/>
    <n v="0.95"/>
    <n v="1080"/>
    <n v="1080"/>
    <s v="已完成"/>
  </r>
  <r>
    <x v="119"/>
    <d v="2026-05-24T00:00:00"/>
    <s v="2026-05-24"/>
    <s v="KH013"/>
    <s v="石家庄振华商贸"/>
    <s v="石家庄振华商贸"/>
    <s v="KH013"/>
    <s v="KH013"/>
    <d v="2026-05-24T00:00:00"/>
    <s v="0117"/>
    <s v="C"/>
    <s v="王强"/>
    <s v="华北"/>
    <s v="华北"/>
    <s v="CP009"/>
    <s v="激光硒鼓 TonerMax 12A"/>
    <n v="385"/>
    <n v="24"/>
    <n v="24"/>
    <n v="0.95"/>
    <s v="¥9,240.00"/>
    <n v="9240"/>
    <s v="已完成"/>
  </r>
  <r>
    <x v="120"/>
    <d v="2026-05-25T00:00:00"/>
    <s v="2026-05-25"/>
    <s v="KH008"/>
    <s v="南京紫金山软件园运营"/>
    <s v="南京紫金山软件园运营"/>
    <s v="KH008"/>
    <s v="KH008"/>
    <d v="2026-05-25T00:00:00"/>
    <s v="0118"/>
    <s v="C"/>
    <s v="张伟"/>
    <s v="华东"/>
    <s v="华东"/>
    <s v="CP011"/>
    <s v="办公软件年费授权"/>
    <n v="699"/>
    <n v="29"/>
    <n v="29"/>
    <n v="0.95"/>
    <n v="20271"/>
    <n v="20271"/>
    <s v="已完成"/>
  </r>
  <r>
    <x v="121"/>
    <s v="2026.5.27"/>
    <s v="2026-05-27"/>
    <s v="KH003"/>
    <s v="广州启航教育"/>
    <s v="广州启航教育"/>
    <s v="KH003"/>
    <s v="KH003"/>
    <d v="2026-05-27T00:00:00"/>
    <s v="0119"/>
    <s v="A"/>
    <s v="陈静"/>
    <s v="华南"/>
    <s v="华南"/>
    <s v="CP011"/>
    <s v="办公软件年费授权"/>
    <n v="699"/>
    <n v="19"/>
    <n v="19"/>
    <n v="0.95"/>
    <n v="13281"/>
    <n v="13281"/>
    <s v="已发货"/>
  </r>
  <r>
    <x v="122"/>
    <d v="2026-05-28T00:00:00"/>
    <s v="2026-05-28"/>
    <s v="KH007"/>
    <s v="武汉长江实业"/>
    <s v="武汉长江实业"/>
    <s v="KH007"/>
    <s v="KH007"/>
    <d v="2026-05-28T00:00:00"/>
    <s v="0120"/>
    <s v="B"/>
    <s v="陈静"/>
    <s v=" 华中"/>
    <s v="华中"/>
    <s v="CP008"/>
    <s v="A4复印纸（5包/箱）"/>
    <n v="128"/>
    <s v="68"/>
    <n v="68"/>
    <n v="0.9"/>
    <n v="8704"/>
    <n v="8704"/>
    <s v="待付款"/>
  </r>
  <r>
    <x v="123"/>
    <d v="2026-05-28T00:00:00"/>
    <s v="2026-05-28"/>
    <s v="KH010"/>
    <s v="苏州创智科技"/>
    <s v="苏州创智科技"/>
    <s v="KH010"/>
    <s v="KH010"/>
    <d v="2026-05-28T00:00:00"/>
    <s v="0121"/>
    <s v="A"/>
    <s v="刘洋"/>
    <s v="华东"/>
    <s v="华东"/>
    <s v="CP003"/>
    <s v="碎纸机 SafeCut S8"/>
    <n v="899"/>
    <n v="3"/>
    <n v="3"/>
    <n v="1"/>
    <n v="2697"/>
    <n v="2697"/>
    <s v="已取消"/>
  </r>
  <r>
    <x v="124"/>
    <d v="2026-05-30T00:00:00"/>
    <s v="2026-05-30"/>
    <s v="KH009"/>
    <s v="天津海河传媒"/>
    <s v="天津海河传媒"/>
    <s v="KH009"/>
    <s v="KH009"/>
    <d v="2026-05-30T00:00:00"/>
    <s v="0122"/>
    <s v="C"/>
    <s v="张伟"/>
    <s v=" 华北"/>
    <s v="华北"/>
    <s v="CP009"/>
    <s v="激光硒鼓 TonerMax 12A"/>
    <n v="385"/>
    <n v="85"/>
    <n v="85"/>
    <n v="0.9"/>
    <n v="32725"/>
    <n v="32725"/>
    <s v="已取消"/>
  </r>
  <r>
    <x v="125"/>
    <d v="2026-07-26T00:00:00"/>
    <s v="2026-07-26"/>
    <s v="KH008"/>
    <s v="南京紫金山软件园运营"/>
    <s v="南京紫金山软件园运营"/>
    <s v="KH008"/>
    <s v="KH008"/>
    <d v="2026-07-26T00:00:00"/>
    <s v="0172"/>
    <s v="C"/>
    <s v="赵磊"/>
    <s v="华东"/>
    <s v="华东"/>
    <s v="CP008"/>
    <s v="A4复印纸（5包/箱）"/>
    <n v="128"/>
    <n v="66"/>
    <n v="66"/>
    <n v="0.9"/>
    <n v="8448"/>
    <n v="8448"/>
    <s v="已发货"/>
  </r>
  <r>
    <x v="126"/>
    <d v="2026-05-31T00:00:00"/>
    <s v="2026-05-31"/>
    <s v="KH013"/>
    <s v="石家庄振华商贸"/>
    <s v="石家庄振华商贸"/>
    <s v="KH013"/>
    <s v="KH013"/>
    <d v="2026-05-31T00:00:00"/>
    <s v="0123"/>
    <s v="C"/>
    <s v="李娜"/>
    <s v="华北区"/>
    <s v="华北"/>
    <s v="CP006"/>
    <s v="显示器 ViewMax 27"/>
    <n v="1299"/>
    <s v="5"/>
    <n v="5"/>
    <n v="1"/>
    <n v="6495"/>
    <n v="6495"/>
    <s v="已完成"/>
  </r>
  <r>
    <x v="127"/>
    <d v="2026-06-02T00:00:00"/>
    <s v="2026-06-02"/>
    <s v="KH006"/>
    <s v="成都天府商贸"/>
    <s v="成都天府商贸"/>
    <s v="KH006"/>
    <s v="KH006"/>
    <d v="2026-06-02T00:00:00"/>
    <s v="0124"/>
    <s v="C"/>
    <s v="李娜"/>
    <s v="西南"/>
    <s v="西南"/>
    <s v="CP011"/>
    <s v="办公软件年费授权"/>
    <n v="699"/>
    <n v="35"/>
    <n v="35"/>
    <n v="0.95"/>
    <n v="24465"/>
    <n v="24465"/>
    <s v="待付款"/>
  </r>
  <r>
    <x v="128"/>
    <d v="2026-06-03T00:00:00"/>
    <s v="2026-06-03"/>
    <s v="KH005"/>
    <s v="杭州云图信息"/>
    <s v="杭州云图信息"/>
    <s v="KH005"/>
    <s v="KH005"/>
    <d v="2026-06-03T00:00:00"/>
    <s v="0125"/>
    <s v="A"/>
    <s v="李娜"/>
    <s v="华东"/>
    <s v="华东"/>
    <s v="CP002"/>
    <s v="多功能一体机 PrintMaster 300 "/>
    <n v="3599"/>
    <n v="1"/>
    <n v="1"/>
    <n v="1"/>
    <n v="3599"/>
    <n v="3599"/>
    <s v="已完成"/>
  </r>
  <r>
    <x v="106"/>
    <d v="2026-06-03T00:00:00"/>
    <s v="2026-06-03"/>
    <s v="KH009"/>
    <s v="天津海河传媒"/>
    <s v="天津海河传媒"/>
    <s v="KH009"/>
    <s v="KH009"/>
    <d v="2026-06-03T00:00:00"/>
    <s v="0126"/>
    <s v="C"/>
    <s v="孙悦"/>
    <s v="华北"/>
    <s v="华北"/>
    <s v="CP002"/>
    <s v="多功能一体机 PrintMaster 300"/>
    <n v="3599"/>
    <n v="8"/>
    <n v="8"/>
    <n v="1"/>
    <n v="28792"/>
    <n v="28792"/>
    <s v="已完成"/>
  </r>
  <r>
    <x v="129"/>
    <d v="2026-06-07T00:00:00"/>
    <s v="2026-06-07"/>
    <s v="KH003"/>
    <s v="广州启航教育"/>
    <s v="广州启航教育"/>
    <s v="KH003"/>
    <s v="KH003"/>
    <d v="2026-06-07T00:00:00"/>
    <s v="0127"/>
    <s v="A"/>
    <s v="李娜"/>
    <s v="华南"/>
    <s v="华南"/>
    <s v="CP006"/>
    <s v="显示器 ViewMax 27"/>
    <n v="1299"/>
    <n v="1"/>
    <n v="1"/>
    <n v="1"/>
    <n v="1299"/>
    <n v="1299"/>
    <s v="已完成"/>
  </r>
  <r>
    <x v="130"/>
    <d v="2026-06-09T00:00:00"/>
    <s v="2026-06-09"/>
    <s v="KH003"/>
    <s v="广州启航教育"/>
    <s v="广州启航教育"/>
    <s v="KH003"/>
    <s v="KH003"/>
    <d v="2026-06-09T00:00:00"/>
    <s v="0128"/>
    <s v="A"/>
    <s v="张伟"/>
    <s v="华南"/>
    <s v="华南"/>
    <s v="CP011"/>
    <s v="办公软件年费授权"/>
    <n v="699"/>
    <n v="3"/>
    <n v="3"/>
    <n v="1"/>
    <n v="2097"/>
    <n v="2097"/>
    <s v="已发货"/>
  </r>
  <r>
    <x v="131"/>
    <d v="2026-06-09T00:00:00"/>
    <s v="2026-06-09"/>
    <s v="KH001"/>
    <s v="北京华信科技"/>
    <s v="北京华信科技"/>
    <s v="KH001"/>
    <s v="KH001"/>
    <d v="2026-06-09T00:00:00"/>
    <s v="0129"/>
    <s v="A"/>
    <s v="杨帆"/>
    <s v="华北"/>
    <s v="华北"/>
    <s v="CP009"/>
    <s v="激光硒鼓 TonerMax 12A"/>
    <n v="385"/>
    <n v="25"/>
    <n v="25"/>
    <n v="0.95"/>
    <n v="9625"/>
    <n v="9625"/>
    <s v="已发货"/>
  </r>
  <r>
    <x v="132"/>
    <d v="2026-06-10T00:00:00"/>
    <s v="2026-06-10"/>
    <s v="KH005"/>
    <s v="杭州云图信息"/>
    <s v="杭州云图信息"/>
    <s v="KH005"/>
    <s v="KH005"/>
    <d v="2026-06-10T00:00:00"/>
    <s v="0130"/>
    <s v="A"/>
    <s v="孙悦"/>
    <s v="华东"/>
    <s v="华东"/>
    <s v="CP008"/>
    <s v="A4复印纸（5包/箱）"/>
    <n v="128"/>
    <n v="51"/>
    <n v="51"/>
    <n v="0.9"/>
    <n v="6528"/>
    <n v="6528"/>
    <s v="已发货"/>
  </r>
  <r>
    <x v="133"/>
    <d v="2026-06-13T00:00:00"/>
    <s v="2026-06-13"/>
    <s v="KH007"/>
    <s v="武汉长江实业"/>
    <s v="武汉长江实业"/>
    <s v="KH007"/>
    <s v="KH007"/>
    <d v="2026-06-13T00:00:00"/>
    <s v="0131"/>
    <s v="B"/>
    <s v="杨帆"/>
    <s v="华中"/>
    <s v="华中"/>
    <s v="CP008"/>
    <s v="A4复印纸（5包/箱）"/>
    <n v="128"/>
    <n v="118"/>
    <n v="118"/>
    <n v="0.85"/>
    <n v="15104"/>
    <n v="15104"/>
    <s v="已完成"/>
  </r>
  <r>
    <x v="134"/>
    <d v="2026-06-15T00:00:00"/>
    <s v="2026-06-15"/>
    <s v="KH010"/>
    <s v="苏州创智科技"/>
    <s v="苏州创智科技"/>
    <s v="KH010"/>
    <s v="KH010"/>
    <d v="2026-06-15T00:00:00"/>
    <s v="0132"/>
    <s v="A"/>
    <s v="刘洋"/>
    <s v="华东"/>
    <s v="华东"/>
    <s v="CP009"/>
    <s v="激光硒鼓 TonerMax 12A "/>
    <n v="385"/>
    <n v="66"/>
    <n v="66"/>
    <n v="0.9"/>
    <n v="25410"/>
    <n v="25410"/>
    <s v="已发货"/>
  </r>
  <r>
    <x v="135"/>
    <d v="2026-06-15T00:00:00"/>
    <s v="2026-06-15"/>
    <s v="KH011"/>
    <s v="重庆山城办公设备"/>
    <s v="重庆山城办公设备"/>
    <s v="KH011"/>
    <s v="KH011"/>
    <d v="2026-06-15T00:00:00"/>
    <s v="0133"/>
    <s v="B"/>
    <s v="张伟"/>
    <s v="西南"/>
    <s v="西南"/>
    <s v="CP009"/>
    <s v="激光硒鼓 TonerMax 12A"/>
    <n v="385"/>
    <n v="71"/>
    <n v="71"/>
    <n v="0.9"/>
    <s v="¥27,335.00"/>
    <n v="27335"/>
    <s v="已完成"/>
  </r>
  <r>
    <x v="136"/>
    <d v="2026-06-15T00:00:00"/>
    <s v="2026-06-15"/>
    <s v="KH004"/>
    <s v="深圳蓝鲸网络"/>
    <s v="深圳蓝鲸网络"/>
    <s v="KH004"/>
    <s v="KH004"/>
    <d v="2026-06-15T00:00:00"/>
    <s v="0134"/>
    <s v="B"/>
    <s v="孙悦"/>
    <s v="华南"/>
    <s v="华南"/>
    <s v="CP010"/>
    <s v="签字笔盒装（12支）"/>
    <n v="45"/>
    <n v="77"/>
    <n v="77"/>
    <n v="0.9"/>
    <n v="3465"/>
    <n v="3465"/>
    <s v="待付款"/>
  </r>
  <r>
    <x v="137"/>
    <d v="2026-06-16T00:00:00"/>
    <s v="2026-06-16"/>
    <s v="KH005"/>
    <s v="杭州云图信息"/>
    <s v="杭州云图信息"/>
    <s v="KH005"/>
    <s v="KH005"/>
    <d v="2026-06-16T00:00:00"/>
    <s v="0135"/>
    <s v="A"/>
    <s v="陈静"/>
    <s v="华东"/>
    <s v="华东"/>
    <s v="CP011"/>
    <s v="办公软件年费授权"/>
    <n v="699"/>
    <n v="22"/>
    <n v="22"/>
    <n v="0.95"/>
    <n v="15378"/>
    <n v="15378"/>
    <s v="已发货"/>
  </r>
  <r>
    <x v="138"/>
    <d v="2026-06-17T00:00:00"/>
    <s v="2026-06-17"/>
    <s v="KH017"/>
    <s v="郑州中原物流"/>
    <s v="郑州中原物流"/>
    <s v="KH017"/>
    <s v="KH017"/>
    <d v="2026-06-17T00:00:00"/>
    <s v="0136"/>
    <s v="B"/>
    <s v="王强"/>
    <s v="华中"/>
    <s v="华中"/>
    <s v="CP008"/>
    <s v="A4复印纸（5包/箱）"/>
    <n v="128"/>
    <n v="55"/>
    <n v="55"/>
    <n v="0.9"/>
    <n v="7040"/>
    <n v="7040"/>
    <s v="已取消"/>
  </r>
  <r>
    <x v="139"/>
    <d v="2026-06-19T00:00:00"/>
    <s v="2026-06-19"/>
    <s v="KH002"/>
    <s v="上海锦程贸易"/>
    <s v="上海锦程贸易"/>
    <s v="KH002"/>
    <s v="KH002"/>
    <d v="2026-06-19T00:00:00"/>
    <s v="0137"/>
    <s v="B"/>
    <s v="李娜"/>
    <s v="华东"/>
    <s v="华东"/>
    <s v="CP006"/>
    <s v="显示器 ViewMax 27"/>
    <n v="1299"/>
    <n v="4"/>
    <n v="4"/>
    <n v="1"/>
    <n v="5196"/>
    <n v="5196"/>
    <s v="已完成"/>
  </r>
  <r>
    <x v="140"/>
    <d v="2026-06-21T00:00:00"/>
    <s v="2026-06-21"/>
    <s v="KH009"/>
    <s v="天津海河传媒"/>
    <s v="天津海河传媒"/>
    <s v="KH009"/>
    <s v="KH009"/>
    <d v="2026-06-21T00:00:00"/>
    <s v="0138"/>
    <s v="C"/>
    <s v="赵磊"/>
    <s v="华北"/>
    <s v="华北"/>
    <s v="CP011"/>
    <s v="办公软件年费授权"/>
    <n v="699"/>
    <n v="8"/>
    <n v="8"/>
    <n v="1"/>
    <s v="¥5,592.00"/>
    <n v="5592"/>
    <s v="已完成"/>
  </r>
  <r>
    <x v="141"/>
    <d v="2026-06-21T00:00:00"/>
    <s v="2026-06-21"/>
    <s v="KH001"/>
    <s v="北京华信科技"/>
    <s v="北京华信科技"/>
    <s v="KH001"/>
    <s v="KH001"/>
    <d v="2026-06-21T00:00:00"/>
    <s v="0139"/>
    <s v="A"/>
    <s v="王强"/>
    <s v="华北"/>
    <s v="华北"/>
    <s v="CP004"/>
    <s v="笔记本电脑 TechBook 14"/>
    <n v="5699"/>
    <s v="5"/>
    <n v="5"/>
    <n v="1"/>
    <n v="28495"/>
    <n v="28495"/>
    <s v="已完成"/>
  </r>
  <r>
    <x v="142"/>
    <d v="2026-06-22T00:00:00"/>
    <s v="2026-06-22"/>
    <s v="KH018"/>
    <s v="厦门鹭岛文创"/>
    <s v="厦门鹭岛文创"/>
    <s v="KH018"/>
    <s v="KH018"/>
    <d v="2026-06-22T00:00:00"/>
    <s v="0140"/>
    <s v="C"/>
    <s v="张伟"/>
    <s v="华南"/>
    <s v="华南"/>
    <s v="CP002"/>
    <s v="多功能一体机 PrintMaster 300"/>
    <n v="3599"/>
    <s v="3"/>
    <n v="3"/>
    <n v="1"/>
    <n v="10797"/>
    <n v="10797"/>
    <s v="已完成"/>
  </r>
  <r>
    <x v="143"/>
    <d v="2026-06-23T00:00:00"/>
    <s v="2026-06-23"/>
    <s v="KH017"/>
    <s v="郑州中原物流"/>
    <s v="郑州中原物流"/>
    <s v="KH017"/>
    <s v="KH017"/>
    <d v="2026-06-23T00:00:00"/>
    <s v="0141"/>
    <s v="B"/>
    <s v="李娜"/>
    <s v="华中"/>
    <s v="华中"/>
    <s v="CP011"/>
    <s v="办公软件年费授权"/>
    <n v="699"/>
    <n v="37"/>
    <n v="37"/>
    <n v="0.95"/>
    <n v="25863"/>
    <n v="25863"/>
    <s v="待付款"/>
  </r>
  <r>
    <x v="144"/>
    <d v="2026-06-25T00:00:00"/>
    <s v="2026-06-25"/>
    <s v="KH010"/>
    <s v="苏州创智科技"/>
    <s v="苏州创智科技"/>
    <s v="KH010"/>
    <s v="KH010"/>
    <d v="2026-06-25T00:00:00"/>
    <s v="0142"/>
    <s v="A"/>
    <s v="张伟"/>
    <s v=" 华东"/>
    <s v="华东"/>
    <s v="CP001"/>
    <s v="激光打印机 ProLaser 200 "/>
    <n v="2499"/>
    <n v="8"/>
    <n v="8"/>
    <n v="1"/>
    <n v="19992"/>
    <n v="19992"/>
    <s v="已取消"/>
  </r>
  <r>
    <x v="145"/>
    <d v="2026-06-26T00:00:00"/>
    <s v="2026-06-26"/>
    <s v="KH018"/>
    <s v="厦门鹭岛文创"/>
    <s v="厦门鹭岛文创"/>
    <s v="KH018"/>
    <s v="KH018"/>
    <d v="2026-06-26T00:00:00"/>
    <s v="0143"/>
    <s v="C"/>
    <s v="张伟"/>
    <s v="华南"/>
    <s v="华南"/>
    <s v="CP012"/>
    <s v="云存储服务（1TB/年）"/>
    <n v="599"/>
    <n v="32"/>
    <n v="32"/>
    <n v="0.95"/>
    <n v="19168"/>
    <n v="19168"/>
    <s v="已完成"/>
  </r>
  <r>
    <x v="146"/>
    <d v="2026-06-27T00:00:00"/>
    <s v="2026-06-27"/>
    <s v="KH003"/>
    <s v="广州启航教育"/>
    <s v="广州启航教育"/>
    <s v="KH003"/>
    <s v="KH003"/>
    <d v="2026-06-27T00:00:00"/>
    <s v="0144"/>
    <s v="A"/>
    <s v="张伟"/>
    <s v="华南"/>
    <s v="华南"/>
    <s v="CP002"/>
    <s v="多功能一体机 PrintMaster 300"/>
    <n v="3599"/>
    <n v="4"/>
    <n v="4"/>
    <n v="1"/>
    <n v="14396"/>
    <n v="14396"/>
    <s v="已完成"/>
  </r>
  <r>
    <x v="147"/>
    <d v="2026-06-28T00:00:00"/>
    <s v="2026-06-28"/>
    <s v="KH012"/>
    <s v="长沙麓山科技"/>
    <s v="长沙麓山科技"/>
    <s v="KH012"/>
    <s v="KH012"/>
    <d v="2026-06-28T00:00:00"/>
    <s v="0145"/>
    <s v="B"/>
    <s v="李娜"/>
    <s v="华中 "/>
    <s v="华中"/>
    <s v="CP008"/>
    <s v="A4复印纸（5包/箱）"/>
    <n v="128"/>
    <n v="43"/>
    <n v="43"/>
    <n v="0.95"/>
    <n v="5504"/>
    <n v="5504"/>
    <s v="待付款"/>
  </r>
  <r>
    <x v="148"/>
    <s v="2026.6.29"/>
    <s v="2026-06-29"/>
    <s v="KH014"/>
    <s v="宁波海港实业"/>
    <s v="宁波海港实业"/>
    <s v="KH014"/>
    <s v="KH014"/>
    <d v="2026-06-29T00:00:00"/>
    <s v="0146"/>
    <s v="B"/>
    <s v="孙悦"/>
    <s v="华东"/>
    <s v="华东"/>
    <s v="CP003"/>
    <s v="碎纸机 SafeCut S8"/>
    <n v="899"/>
    <n v="4"/>
    <n v="4"/>
    <n v="1"/>
    <n v="3596"/>
    <n v="3596"/>
    <s v="待付款"/>
  </r>
  <r>
    <x v="149"/>
    <d v="2026-06-30T00:00:00"/>
    <s v="2026-06-30"/>
    <s v="KH010"/>
    <s v="苏州创智科技"/>
    <s v="苏州创智科技"/>
    <s v="KH010"/>
    <s v="KH010"/>
    <d v="2026-06-30T00:00:00"/>
    <s v="0147"/>
    <s v="A"/>
    <s v="孙悦"/>
    <s v="华东"/>
    <s v="华东"/>
    <s v="CP004"/>
    <s v="笔记本电脑 TechBook 14"/>
    <n v="5699"/>
    <n v="7"/>
    <n v="7"/>
    <n v="1"/>
    <n v="39893"/>
    <n v="39893"/>
    <s v="已完成"/>
  </r>
  <r>
    <x v="150"/>
    <d v="2026-06-30T00:00:00"/>
    <s v="2026-06-30"/>
    <s v="KH001"/>
    <s v="北京华信科技"/>
    <s v="北京华信科技"/>
    <s v="KH001"/>
    <s v="KH001"/>
    <d v="2026-06-30T00:00:00"/>
    <s v="0148"/>
    <s v="A"/>
    <s v="李娜"/>
    <s v="华北"/>
    <s v="华北"/>
    <s v="CP007"/>
    <s v="无线键鼠套装 KeyFree 2.0"/>
    <n v="299"/>
    <n v="9"/>
    <n v="9"/>
    <n v="1"/>
    <s v="¥2,691.00"/>
    <n v="2691"/>
    <s v="已完成"/>
  </r>
  <r>
    <x v="151"/>
    <d v="2026-07-01T00:00:00"/>
    <s v="2026-07-01"/>
    <s v="KH012"/>
    <s v="长沙麓山科技"/>
    <s v="长沙麓山科技"/>
    <s v="KH012"/>
    <s v="KH012"/>
    <d v="2026-07-01T00:00:00"/>
    <s v="0149"/>
    <s v="B"/>
    <s v="刘洋"/>
    <s v="华中"/>
    <s v="华中"/>
    <s v="CP003"/>
    <s v="碎纸机 SafeCut S8"/>
    <n v="899"/>
    <n v="3"/>
    <n v="3"/>
    <n v="1"/>
    <n v="2697"/>
    <n v="2697"/>
    <s v="已完成"/>
  </r>
  <r>
    <x v="152"/>
    <s v="2026.7.2"/>
    <s v="2026-07-02"/>
    <s v="KH006"/>
    <s v="成都天府商贸"/>
    <s v="成都天府商贸"/>
    <s v="KH006"/>
    <s v="KH006"/>
    <d v="2026-07-02T00:00:00"/>
    <s v="0150"/>
    <s v="C"/>
    <s v="王强"/>
    <s v="西南区"/>
    <s v="西南"/>
    <s v="CP005"/>
    <s v="台式电脑 PowerDesk 500"/>
    <n v="4299"/>
    <n v="11"/>
    <n v="11"/>
    <n v="0.95"/>
    <n v="47289"/>
    <n v="47289"/>
    <s v="已完成"/>
  </r>
  <r>
    <x v="153"/>
    <d v="2026-07-03T00:00:00"/>
    <s v="2026-07-03"/>
    <s v="KH001"/>
    <s v="北京华信科技"/>
    <s v="北京华信科技"/>
    <s v="KH001"/>
    <s v="KH001"/>
    <d v="2026-07-03T00:00:00"/>
    <s v="0151"/>
    <s v="A"/>
    <s v="刘洋"/>
    <s v="华北"/>
    <s v="华北"/>
    <s v="CP002"/>
    <s v="多功能一体机 PrintMaster 300"/>
    <n v="3599"/>
    <n v="3"/>
    <n v="3"/>
    <n v="1"/>
    <n v="10797"/>
    <n v="10797"/>
    <s v="待付款"/>
  </r>
  <r>
    <x v="154"/>
    <d v="2026-07-03T00:00:00"/>
    <s v="2026-07-03"/>
    <s v="KH010"/>
    <s v="苏州创智科技"/>
    <s v="苏州创智科技"/>
    <s v="KH010"/>
    <s v="KH010"/>
    <d v="2026-07-03T00:00:00"/>
    <s v="0153"/>
    <s v="A"/>
    <s v="李娜"/>
    <s v="华东"/>
    <s v="华东"/>
    <s v="CP003"/>
    <s v="碎纸机 SafeCut S8"/>
    <n v="899"/>
    <n v="7"/>
    <n v="7"/>
    <n v="1"/>
    <n v="6293"/>
    <n v="6293"/>
    <s v="已取消"/>
  </r>
  <r>
    <x v="155"/>
    <d v="2026-07-05T00:00:00"/>
    <s v="2026-07-05"/>
    <s v="KH010"/>
    <s v="苏州创智科技"/>
    <s v="苏州创智科技"/>
    <s v="KH010"/>
    <s v="KH010"/>
    <d v="2026-07-05T00:00:00"/>
    <s v="0154"/>
    <s v="A"/>
    <s v="杨帆"/>
    <s v="华东"/>
    <s v="华东"/>
    <s v="CP007"/>
    <s v="无线键鼠套装 KeyFree 2.0"/>
    <n v="299"/>
    <n v="10"/>
    <n v="10"/>
    <n v="0.95"/>
    <n v="2990"/>
    <n v="2990"/>
    <s v="已完成"/>
  </r>
  <r>
    <x v="156"/>
    <d v="2026-07-06T00:00:00"/>
    <s v="2026-07-06"/>
    <s v="KH006"/>
    <s v="成都天府商贸"/>
    <s v="成都天府商贸"/>
    <s v="KH006"/>
    <s v="KH006"/>
    <d v="2026-07-06T00:00:00"/>
    <s v="0155"/>
    <s v="C"/>
    <s v="张伟"/>
    <s v="西南区"/>
    <s v="西南"/>
    <s v="CP010"/>
    <s v="签字笔盒装（12支）"/>
    <n v="45"/>
    <s v="85"/>
    <n v="85"/>
    <n v="0.9"/>
    <n v="3825"/>
    <n v="3825"/>
    <s v="已发货"/>
  </r>
  <r>
    <x v="157"/>
    <s v="2026.7.7"/>
    <s v="2026-07-07"/>
    <s v="KH004"/>
    <s v="深圳蓝鲸网络"/>
    <s v="深圳蓝鲸网络"/>
    <s v="KH004"/>
    <s v="KH004"/>
    <d v="2026-07-07T00:00:00"/>
    <s v="0156"/>
    <s v="B"/>
    <s v="陈静"/>
    <s v="华南"/>
    <s v="华南"/>
    <s v="CP006"/>
    <s v="显示器 ViewMax 27"/>
    <n v="1299"/>
    <n v="4"/>
    <n v="4"/>
    <n v="1"/>
    <n v="5196"/>
    <n v="5196"/>
    <s v="已发货"/>
  </r>
  <r>
    <x v="158"/>
    <s v="2026/7/10"/>
    <s v="2026-07-10"/>
    <s v="KH011"/>
    <s v="重庆山城办公设备"/>
    <s v="重庆山城办公设备"/>
    <s v="KH011"/>
    <s v="KH011"/>
    <d v="2026-07-10T00:00:00"/>
    <s v="0157"/>
    <s v="B"/>
    <s v="陈静"/>
    <s v=" 西南"/>
    <s v="西南"/>
    <s v="CP012"/>
    <s v="云存储服务（1TB/年）"/>
    <n v="599"/>
    <n v="13"/>
    <n v="13"/>
    <n v="0.95"/>
    <n v="7787"/>
    <n v="7787"/>
    <s v="已发货"/>
  </r>
  <r>
    <x v="159"/>
    <d v="2026-07-12T00:00:00"/>
    <s v="2026-07-12"/>
    <s v="KH001"/>
    <s v="北京华信科技"/>
    <s v="北京华信科技"/>
    <s v="KH001"/>
    <s v="KH001"/>
    <d v="2026-07-12T00:00:00"/>
    <s v="0158"/>
    <s v="A"/>
    <s v="孙悦"/>
    <s v="华北区"/>
    <s v="华北"/>
    <s v="CP001"/>
    <s v="激光打印机 ProLaser 200"/>
    <n v="2499"/>
    <n v="3"/>
    <n v="3"/>
    <n v="1"/>
    <n v="7122.15"/>
    <n v="7497"/>
    <s v="已发货"/>
  </r>
  <r>
    <x v="160"/>
    <d v="2026-07-12T00:00:00"/>
    <s v="2026-07-12"/>
    <s v="KH004"/>
    <s v="深圳蓝鲸网络"/>
    <s v="深圳蓝鲸网络"/>
    <s v="KH004"/>
    <s v="KH004"/>
    <d v="2026-07-12T00:00:00"/>
    <s v="0159"/>
    <s v="B"/>
    <s v="孙悦"/>
    <s v="华南区"/>
    <s v="华南"/>
    <s v="CP008"/>
    <s v="A4复印纸（5包/箱）"/>
    <n v="128"/>
    <n v="30"/>
    <n v="30"/>
    <n v="0.95"/>
    <n v="3840"/>
    <n v="3840"/>
    <s v="已完成"/>
  </r>
  <r>
    <x v="161"/>
    <d v="2026-07-16T00:00:00"/>
    <s v="2026-07-16"/>
    <s v="KH003"/>
    <s v="广州启航教育"/>
    <s v="广州启航教育"/>
    <s v="KH003"/>
    <s v="KH003"/>
    <d v="2026-07-16T00:00:00"/>
    <s v="0160"/>
    <s v="A"/>
    <s v="王强"/>
    <s v="华南区"/>
    <s v="华南"/>
    <s v="CP009"/>
    <s v="激光硒鼓 TonerMax 12A "/>
    <n v="385"/>
    <n v="49"/>
    <n v="49"/>
    <n v="0.95"/>
    <n v="18865"/>
    <n v="18865"/>
    <s v="已完成"/>
  </r>
  <r>
    <x v="162"/>
    <d v="2026-07-16T00:00:00"/>
    <s v="2026-07-16"/>
    <s v="KH004"/>
    <s v="深圳蓝鲸网络"/>
    <s v="深圳蓝鲸网络"/>
    <s v="KH004"/>
    <s v="KH004"/>
    <d v="2026-07-16T00:00:00"/>
    <s v="0161"/>
    <s v="B"/>
    <s v="王强"/>
    <s v="华南"/>
    <s v="华南"/>
    <s v="CP007"/>
    <s v="无线键鼠套装 KeyFree 2.0"/>
    <n v="299"/>
    <n v="5"/>
    <n v="5"/>
    <n v="1"/>
    <s v="¥1,495.00"/>
    <n v="1495"/>
    <s v="已完成"/>
  </r>
  <r>
    <x v="163"/>
    <d v="2026-07-16T00:00:00"/>
    <s v="2026-07-16"/>
    <s v="KH012"/>
    <s v="长沙麓山科技"/>
    <s v="长沙麓山科技"/>
    <s v="KH012"/>
    <s v="KH012"/>
    <d v="2026-07-16T00:00:00"/>
    <s v="0162"/>
    <s v="B"/>
    <s v="李娜"/>
    <s v="华中"/>
    <s v="华中"/>
    <s v="CP007"/>
    <s v="无线键鼠套装 KeyFree 2.0"/>
    <n v="299"/>
    <n v="2"/>
    <n v="2"/>
    <n v="1"/>
    <n v="598"/>
    <n v="598"/>
    <s v="已完成"/>
  </r>
  <r>
    <x v="164"/>
    <d v="2026-07-17T00:00:00"/>
    <s v="2026-07-17"/>
    <s v="KH005"/>
    <s v="杭州云图信息"/>
    <s v="杭州云图信息"/>
    <s v="KH005"/>
    <s v="KH005"/>
    <d v="2026-07-17T00:00:00"/>
    <s v="0163"/>
    <s v="A"/>
    <s v="陈静"/>
    <s v="华东区"/>
    <s v="华东"/>
    <s v="CP011"/>
    <s v="办公软件年费授权"/>
    <n v="699"/>
    <n v="26"/>
    <n v="26"/>
    <n v="0.95"/>
    <s v="¥18,174.00"/>
    <n v="18174"/>
    <s v="已完成"/>
  </r>
  <r>
    <x v="165"/>
    <s v="2026.7.18"/>
    <s v="2026-07-18"/>
    <s v="KH008"/>
    <s v="南京紫金山软件园运营"/>
    <s v="南京紫金山软件园运营"/>
    <s v="KH008"/>
    <s v="KH008"/>
    <d v="2026-07-18T00:00:00"/>
    <s v="0164"/>
    <s v="C"/>
    <s v="陈静"/>
    <s v="华东"/>
    <s v="华东"/>
    <s v="CP012"/>
    <s v="云存储服务（1TB/年）"/>
    <n v="599"/>
    <n v="21"/>
    <n v="21"/>
    <n v="0.95"/>
    <n v="12579"/>
    <n v="12579"/>
    <s v="已完成"/>
  </r>
  <r>
    <x v="166"/>
    <d v="2026-07-20T00:00:00"/>
    <s v="2026-07-20"/>
    <s v="KH012"/>
    <s v="长沙麓山科技"/>
    <s v="长沙麓山科技"/>
    <s v="KH012"/>
    <s v="KH012"/>
    <d v="2026-07-20T00:00:00"/>
    <s v="0165"/>
    <s v="B"/>
    <s v="王强"/>
    <s v="华中"/>
    <s v="华中"/>
    <s v="CP007"/>
    <s v="无线键鼠套装 KeyFree 2.0"/>
    <n v="299"/>
    <n v="6"/>
    <n v="6"/>
    <n v="1"/>
    <n v="1794"/>
    <n v="1794"/>
    <s v="已完成"/>
  </r>
  <r>
    <x v="167"/>
    <s v="2026年7月20日"/>
    <s v="2026-07-20"/>
    <s v="KH010"/>
    <s v="苏州创智科技"/>
    <s v="苏州创智科技"/>
    <s v="KH010"/>
    <s v="KH010"/>
    <d v="2026-07-20T00:00:00"/>
    <s v="0166"/>
    <s v="A"/>
    <s v="陈静"/>
    <s v="华东"/>
    <s v="华东"/>
    <s v="CP004"/>
    <s v="笔记本电脑 TechBook 14"/>
    <n v="5699"/>
    <n v="12"/>
    <n v="12"/>
    <n v="0.95"/>
    <n v="68388"/>
    <n v="68388"/>
    <s v="已发货"/>
  </r>
  <r>
    <x v="168"/>
    <d v="2026-07-24T00:00:00"/>
    <s v="2026-07-24"/>
    <s v="KH015"/>
    <s v="佛山美的家电商贸"/>
    <s v="佛山美的家电商贸"/>
    <s v="KH015"/>
    <s v="KH015"/>
    <d v="2026-07-24T00:00:00"/>
    <s v="0167"/>
    <s v="A"/>
    <s v="杨帆"/>
    <s v="华南"/>
    <s v="华南"/>
    <s v="CP007"/>
    <s v="无线键鼠套装 KeyFree 2.0"/>
    <n v="299"/>
    <n v="12"/>
    <n v="12"/>
    <n v="0.95"/>
    <n v="3588"/>
    <n v="3588"/>
    <s v="已完成"/>
  </r>
  <r>
    <x v="169"/>
    <d v="2026-07-25T00:00:00"/>
    <s v="2026-07-25"/>
    <s v="KH002"/>
    <s v="上海锦程贸易"/>
    <s v="上海锦程贸易"/>
    <s v="KH002"/>
    <s v="KH002"/>
    <d v="2026-07-25T00:00:00"/>
    <s v="0168"/>
    <s v="B"/>
    <s v="杨帆"/>
    <s v="华东区"/>
    <s v="华东"/>
    <s v="CP007"/>
    <s v="无线键鼠套装 KeyFree 2.0"/>
    <n v="299"/>
    <n v="10"/>
    <n v="10"/>
    <n v="0.95"/>
    <n v="2990"/>
    <n v="2990"/>
    <s v="已发货"/>
  </r>
  <r>
    <x v="170"/>
    <d v="2026-07-25T00:00:00"/>
    <s v="2026-07-25"/>
    <s v="KH007"/>
    <s v="武汉长江实业"/>
    <s v="武汉长江实业"/>
    <s v="KH007"/>
    <s v="KH007"/>
    <d v="2026-07-25T00:00:00"/>
    <s v="0169"/>
    <s v="B"/>
    <s v="赵磊"/>
    <s v="华中"/>
    <s v="华中"/>
    <s v="CP009"/>
    <s v="激光硒鼓 TonerMax 12A"/>
    <n v="385"/>
    <n v="48"/>
    <n v="48"/>
    <n v="0.95"/>
    <n v="18480"/>
    <n v="18480"/>
    <s v="已发货"/>
  </r>
  <r>
    <x v="171"/>
    <s v="2026年7月26日"/>
    <s v="2026-07-26"/>
    <s v="KH006"/>
    <s v="成都天府商贸"/>
    <s v="成都天府商贸"/>
    <s v="KH006"/>
    <s v="KH006"/>
    <d v="2026-07-26T00:00:00"/>
    <s v="0170"/>
    <s v="C"/>
    <s v="王强"/>
    <s v="西南"/>
    <s v="西南"/>
    <s v="CP012"/>
    <s v="云存储服务（1TB/年）"/>
    <n v="599"/>
    <n v="17"/>
    <n v="17"/>
    <n v="0.95"/>
    <n v="10183"/>
    <n v="10183"/>
    <s v="已完成"/>
  </r>
  <r>
    <x v="172"/>
    <d v="2026-07-26T00:00:00"/>
    <s v="2026-07-26"/>
    <s v="KH001"/>
    <s v="北京华信科技"/>
    <s v="北京华信科技"/>
    <s v="KH001"/>
    <s v="KH001"/>
    <d v="2026-07-26T00:00:00"/>
    <s v="0171"/>
    <s v="A"/>
    <s v="陈静"/>
    <s v="华北"/>
    <s v="华北"/>
    <s v="CP009"/>
    <s v="激光硒鼓 TonerMax 12A"/>
    <n v="385"/>
    <n v="35"/>
    <n v="35"/>
    <n v="0.95"/>
    <n v="13475"/>
    <n v="13475"/>
    <s v="已完成"/>
  </r>
  <r>
    <x v="173"/>
    <s v="2026.7.26"/>
    <s v="2026-07-26"/>
    <s v="KH013"/>
    <s v="石家庄振华商贸"/>
    <s v="石家庄振华商贸"/>
    <s v="KH013"/>
    <s v="KH013"/>
    <d v="2026-07-26T00:00:00"/>
    <s v="0173"/>
    <s v="C"/>
    <s v="张伟"/>
    <s v="华北"/>
    <s v="华北"/>
    <s v="CP009"/>
    <s v="激光硒鼓 TonerMax 12A"/>
    <n v="385"/>
    <n v="104"/>
    <n v="104"/>
    <n v="0.85"/>
    <n v="40040"/>
    <n v="40040"/>
    <s v="待付款"/>
  </r>
  <r>
    <x v="174"/>
    <d v="2026-07-27T00:00:00"/>
    <s v="2026-07-27"/>
    <s v="KH010"/>
    <s v="苏州创智科技"/>
    <s v="苏州创智科技"/>
    <s v="KH010"/>
    <s v="KH010"/>
    <d v="2026-07-27T00:00:00"/>
    <s v="0174"/>
    <s v="A"/>
    <s v="赵磊"/>
    <s v="华东"/>
    <s v="华东"/>
    <s v="CP008"/>
    <s v="A4复印纸（5包/箱）"/>
    <n v="128"/>
    <n v="117"/>
    <n v="117"/>
    <n v="0.85"/>
    <n v="14976"/>
    <n v="14976"/>
    <s v="已完成"/>
  </r>
  <r>
    <x v="175"/>
    <s v="2026.7.28"/>
    <s v="2026-07-28"/>
    <s v="KH014"/>
    <s v="宁波海港实业"/>
    <s v="宁波海港实业"/>
    <s v="KH014"/>
    <s v="KH014"/>
    <d v="2026-07-28T00:00:00"/>
    <s v="0175"/>
    <s v="B"/>
    <s v="陈静"/>
    <s v="华东"/>
    <s v="华东"/>
    <s v="CP011"/>
    <s v="办公软件年费授权"/>
    <n v="699"/>
    <n v="34"/>
    <n v="34"/>
    <n v="0.95"/>
    <n v="23766"/>
    <n v="23766"/>
    <s v="待付款"/>
  </r>
  <r>
    <x v="176"/>
    <d v="2026-07-29T00:00:00"/>
    <s v="2026-07-29"/>
    <s v="KH016"/>
    <s v="昆明滇池科技"/>
    <s v="昆明滇池科技"/>
    <s v="KH016"/>
    <s v="KH016"/>
    <d v="2026-07-29T00:00:00"/>
    <s v="0176"/>
    <s v="C"/>
    <s v="杨帆"/>
    <s v="西南区"/>
    <s v="西南"/>
    <s v="CP009"/>
    <s v="激光硒鼓 TonerMax 12A"/>
    <n v="385"/>
    <n v="54"/>
    <n v="54"/>
    <n v="0.9"/>
    <n v="20790"/>
    <n v="20790"/>
    <s v="已发货"/>
  </r>
  <r>
    <x v="177"/>
    <d v="2026-07-29T00:00:00"/>
    <s v="2026-07-29"/>
    <s v="KH010"/>
    <s v="苏州创智科技"/>
    <s v="苏州创智科技"/>
    <s v="KH010"/>
    <s v="KH010"/>
    <d v="2026-07-29T00:00:00"/>
    <s v="0177"/>
    <s v="A"/>
    <s v="赵磊"/>
    <s v="华东"/>
    <s v="华东"/>
    <s v="CP001"/>
    <s v="激光打印机 ProLaser 200"/>
    <n v="2499"/>
    <n v="7"/>
    <n v="7"/>
    <n v="1"/>
    <n v="19242.3"/>
    <n v="17493"/>
    <s v="已发货"/>
  </r>
  <r>
    <x v="178"/>
    <s v="2026年7月31日"/>
    <s v="2026-07-31"/>
    <s v="KH018"/>
    <s v="厦门鹭岛文创"/>
    <s v="厦门鹭岛文创"/>
    <s v="KH018"/>
    <s v="KH018"/>
    <d v="2026-07-31T00:00:00"/>
    <s v="0178"/>
    <s v="C"/>
    <s v="赵磊"/>
    <s v="华南"/>
    <s v="华南"/>
    <s v="CP011"/>
    <s v="办公软件年费授权"/>
    <n v="699"/>
    <n v="17"/>
    <n v="17"/>
    <n v="0.95"/>
    <n v="11883"/>
    <n v="11883"/>
    <s v="已完成"/>
  </r>
  <r>
    <x v="179"/>
    <d v="2026-08-01T00:00:00"/>
    <s v="2026-08-01"/>
    <s v="KH015"/>
    <s v="佛山美的家电商贸"/>
    <s v="佛山美的家电商贸"/>
    <s v="KH015"/>
    <s v="KH015"/>
    <d v="2026-08-01T00:00:00"/>
    <s v="0179"/>
    <s v="A"/>
    <s v="刘洋"/>
    <s v="华南"/>
    <s v="华南"/>
    <s v="CP011"/>
    <s v="办公软件年费授权"/>
    <n v="699"/>
    <n v="8"/>
    <n v="8"/>
    <n v="1"/>
    <n v="5032.8"/>
    <n v="5592"/>
    <s v="已完成"/>
  </r>
  <r>
    <x v="180"/>
    <d v="2026-08-01T00:00:00"/>
    <s v="2026-08-01"/>
    <s v="KH010"/>
    <s v="苏州创智科技"/>
    <s v="苏州创智科技"/>
    <s v="KH010"/>
    <s v="KH010"/>
    <d v="2026-08-01T00:00:00"/>
    <s v="0180"/>
    <s v="A"/>
    <s v="赵磊"/>
    <s v="华东"/>
    <s v="华东"/>
    <s v="CP007"/>
    <s v="无线键鼠套装 KeyFree 2.0"/>
    <n v="299"/>
    <n v="3"/>
    <n v="3"/>
    <n v="1"/>
    <n v="897"/>
    <n v="897"/>
    <s v="已完成"/>
  </r>
  <r>
    <x v="181"/>
    <d v="2026-08-04T00:00:00"/>
    <s v="2026-08-04"/>
    <s v="KH007"/>
    <s v="武汉长江实业"/>
    <s v="武汉长江实业"/>
    <s v="KH007"/>
    <s v="KH007"/>
    <d v="2026-08-04T00:00:00"/>
    <s v="0181"/>
    <s v="B"/>
    <s v="李娜"/>
    <s v="华中"/>
    <s v="华中"/>
    <s v="CP008"/>
    <s v="A4复印纸（5包/箱）"/>
    <n v="128"/>
    <n v="22"/>
    <n v="22"/>
    <n v="0.95"/>
    <n v="2816"/>
    <n v="2816"/>
    <s v="已完成"/>
  </r>
  <r>
    <x v="182"/>
    <d v="2026-08-04T00:00:00"/>
    <s v="2026-08-04"/>
    <s v="KH002"/>
    <s v="上海锦程贸易"/>
    <s v="上海锦程贸易"/>
    <s v="KH002"/>
    <s v="KH002"/>
    <d v="2026-08-04T00:00:00"/>
    <s v="0182"/>
    <s v="B"/>
    <s v="李娜"/>
    <s v="华东"/>
    <s v="华东"/>
    <s v="CP009"/>
    <s v="激光硒鼓 TonerMax 12A"/>
    <n v="385"/>
    <n v="91"/>
    <n v="91"/>
    <n v="0.9"/>
    <n v="35035"/>
    <n v="35035"/>
    <s v="已完成"/>
  </r>
  <r>
    <x v="183"/>
    <d v="2026-08-05T00:00:00"/>
    <s v="2026-08-05"/>
    <s v="KH005"/>
    <s v="杭州云图信息"/>
    <s v="杭州云图信息"/>
    <s v="KH005"/>
    <s v="KH005"/>
    <d v="2026-08-05T00:00:00"/>
    <s v="0183"/>
    <s v="A"/>
    <s v="李娜"/>
    <s v="华东区"/>
    <s v="华东"/>
    <s v="CP011"/>
    <s v="办公软件年费授权"/>
    <n v="699"/>
    <n v="8"/>
    <n v="8"/>
    <n v="1"/>
    <n v="5592"/>
    <n v="5592"/>
    <s v="已发货"/>
  </r>
  <r>
    <x v="184"/>
    <d v="2026-08-06T00:00:00"/>
    <s v="2026-08-06"/>
    <s v="KH013"/>
    <s v="石家庄振华商贸"/>
    <s v="石家庄振华商贸"/>
    <s v="KH013"/>
    <s v="KH013"/>
    <d v="2026-08-06T00:00:00"/>
    <s v="0184"/>
    <s v="C"/>
    <s v="李娜"/>
    <s v="华北区"/>
    <s v="华北"/>
    <s v="CP007"/>
    <s v="无线键鼠套装 KeyFree 2.0"/>
    <n v="299"/>
    <s v="7"/>
    <n v="7"/>
    <n v="1"/>
    <n v="2093"/>
    <n v="2093"/>
    <s v="已发货"/>
  </r>
  <r>
    <x v="185"/>
    <d v="2026-08-06T00:00:00"/>
    <s v="2026-08-06"/>
    <s v="KH016"/>
    <s v="昆明滇池科技"/>
    <s v="昆明滇池科技"/>
    <s v="KH016"/>
    <s v="KH016"/>
    <d v="2026-08-06T00:00:00"/>
    <s v="0185"/>
    <s v="C"/>
    <s v="孙悦"/>
    <s v="西南区"/>
    <s v="西南"/>
    <s v="CP004"/>
    <s v="笔记本电脑 TechBook 14"/>
    <n v="5699"/>
    <s v="9"/>
    <n v="9"/>
    <n v="1"/>
    <n v="51291"/>
    <n v="51291"/>
    <s v="已完成"/>
  </r>
  <r>
    <x v="186"/>
    <d v="2026-08-09T00:00:00"/>
    <s v="2026-08-09"/>
    <s v="KH003"/>
    <s v="广州启航教育"/>
    <s v="广州启航教育"/>
    <s v="KH003"/>
    <s v="KH003"/>
    <d v="2026-08-09T00:00:00"/>
    <s v="0186"/>
    <s v="A"/>
    <s v="王强"/>
    <s v="华南"/>
    <s v="华南"/>
    <s v="CP002"/>
    <s v="多功能一体机 PrintMaster 300"/>
    <n v="3599"/>
    <n v="4"/>
    <n v="4"/>
    <n v="1"/>
    <n v="14396"/>
    <n v="14396"/>
    <s v="已完成"/>
  </r>
  <r>
    <x v="187"/>
    <s v="2026/8/10"/>
    <s v="2026-08-10"/>
    <s v="KH019"/>
    <s v="北京中关新材"/>
    <s v="北京中关新材"/>
    <s v="KH019"/>
    <s v="KH019"/>
    <d v="2026-08-10T00:00:00"/>
    <s v="0187"/>
    <s v="B"/>
    <s v="赵磊"/>
    <s v="华北"/>
    <s v="华北"/>
    <s v="CP012"/>
    <s v="云存储服务（1TB/年）"/>
    <n v="599"/>
    <n v="37"/>
    <n v="37"/>
    <n v="0.95"/>
    <n v="22163"/>
    <n v="22163"/>
    <s v="已发货"/>
  </r>
  <r>
    <x v="188"/>
    <d v="2026-08-11T00:00:00"/>
    <s v="2026-08-11"/>
    <s v="KH003"/>
    <s v="广州启航教育"/>
    <s v="广州启航教育"/>
    <s v="KH003"/>
    <s v="KH003"/>
    <d v="2026-08-11T00:00:00"/>
    <s v="0188"/>
    <s v="A"/>
    <s v="赵磊"/>
    <s v="华南区"/>
    <s v="华南"/>
    <s v="CP001"/>
    <s v="激光打印机 ProLaser 200"/>
    <n v="2499"/>
    <n v="8"/>
    <n v="8"/>
    <n v="1"/>
    <n v="19992"/>
    <n v="19992"/>
    <s v="待付款"/>
  </r>
  <r>
    <x v="189"/>
    <s v="2026/8/13"/>
    <s v="2026-08-13"/>
    <s v="KH001"/>
    <s v="北京华信科技"/>
    <s v="北京华信科技"/>
    <s v="KH001"/>
    <s v="KH001"/>
    <d v="2026-08-13T00:00:00"/>
    <s v="0189"/>
    <s v="A"/>
    <s v="孙悦"/>
    <s v="华北"/>
    <s v="华北"/>
    <s v="CP008"/>
    <s v="A4复印纸（5包/箱）"/>
    <n v="128"/>
    <n v="67"/>
    <n v="67"/>
    <n v="0.9"/>
    <n v="8576"/>
    <n v="8576"/>
    <s v="已完成"/>
  </r>
  <r>
    <x v="190"/>
    <d v="2026-08-13T00:00:00"/>
    <s v="2026-08-13"/>
    <s v="KH002"/>
    <s v="上海锦程贸易"/>
    <s v="上海锦程贸易"/>
    <s v="KH002"/>
    <s v="KH002"/>
    <d v="2026-08-13T00:00:00"/>
    <s v="0190"/>
    <s v="B"/>
    <s v="赵磊"/>
    <s v="华东"/>
    <s v="华东"/>
    <s v="CP001"/>
    <s v="激光打印机 ProLaser 200"/>
    <n v="2499"/>
    <n v="3"/>
    <n v="3"/>
    <n v="1"/>
    <n v="6747.3"/>
    <n v="7497"/>
    <s v="已发货"/>
  </r>
  <r>
    <x v="191"/>
    <d v="2026-08-14T00:00:00"/>
    <s v="2026-08-14"/>
    <s v="KH005"/>
    <s v="杭州云图信息"/>
    <s v="杭州云图信息"/>
    <s v="KH005"/>
    <s v="KH005"/>
    <d v="2026-08-14T00:00:00"/>
    <s v="0191"/>
    <s v="A"/>
    <s v="赵磊"/>
    <s v="华东区"/>
    <s v="华东"/>
    <s v="CP008"/>
    <s v="A4复印纸（5包/箱）"/>
    <n v="128"/>
    <n v="41"/>
    <n v="41"/>
    <n v="0.95"/>
    <n v="5248"/>
    <n v="5248"/>
    <s v="已完成"/>
  </r>
  <r>
    <x v="192"/>
    <d v="2026-08-15T00:00:00"/>
    <s v="2026-08-15"/>
    <s v="KH019"/>
    <s v="北京中关新材"/>
    <s v="北京中关新材"/>
    <s v="KH019"/>
    <s v="KH019"/>
    <d v="2026-08-15T00:00:00"/>
    <s v="0192"/>
    <s v="B"/>
    <s v="陈静"/>
    <s v="华北区"/>
    <s v="华北"/>
    <s v="CP001"/>
    <s v="激光打印机 ProLaser 200"/>
    <n v="2499"/>
    <n v="3"/>
    <n v="3"/>
    <n v="1"/>
    <n v="7497"/>
    <n v="7497"/>
    <s v="已完成"/>
  </r>
  <r>
    <x v="193"/>
    <d v="2026-08-15T00:00:00"/>
    <s v="2026-08-15"/>
    <s v="KH015"/>
    <s v="佛山美的家电商贸"/>
    <s v="佛山美的家电商贸"/>
    <s v="KH015"/>
    <s v="KH015"/>
    <d v="2026-08-15T00:00:00"/>
    <s v="0193"/>
    <s v="A"/>
    <s v="刘洋"/>
    <s v="华南 "/>
    <s v="华南"/>
    <s v="CP010"/>
    <s v="签字笔盒装（12支）"/>
    <n v="45"/>
    <n v="98"/>
    <n v="98"/>
    <n v="0.9"/>
    <n v="4410"/>
    <n v="4410"/>
    <s v="已完成"/>
  </r>
  <r>
    <x v="194"/>
    <d v="2026-08-15T00:00:00"/>
    <s v="2026-08-15"/>
    <s v="KH015"/>
    <s v="佛山美的家电商贸"/>
    <s v="佛山美的家电商贸"/>
    <s v="KH015"/>
    <s v="KH015"/>
    <d v="2026-08-15T00:00:00"/>
    <s v="0194"/>
    <s v="A"/>
    <s v="李娜"/>
    <s v="华南"/>
    <s v="华南"/>
    <s v="CP007"/>
    <s v="无线键鼠套装 KeyFree 2.0"/>
    <n v="299"/>
    <n v="11"/>
    <n v="11"/>
    <n v="0.95"/>
    <n v="3289"/>
    <n v="3289"/>
    <s v="已完成"/>
  </r>
  <r>
    <x v="195"/>
    <d v="2026-08-15T00:00:00"/>
    <s v="2026-08-15"/>
    <s v="KH012"/>
    <s v="长沙麓山科技"/>
    <s v="长沙麓山科技"/>
    <s v="KH012"/>
    <s v="KH012"/>
    <d v="2026-08-15T00:00:00"/>
    <s v="0195"/>
    <s v="B"/>
    <s v="陈静"/>
    <s v="华中"/>
    <s v="华中"/>
    <s v="CP006"/>
    <s v="显示器 ViewMax 27"/>
    <n v="1299"/>
    <n v="10"/>
    <n v="10"/>
    <n v="0.95"/>
    <n v="12990"/>
    <n v="12990"/>
    <s v="已完成"/>
  </r>
  <r>
    <x v="196"/>
    <d v="2026-08-17T00:00:00"/>
    <s v="2026-08-17"/>
    <s v="KH010"/>
    <s v="苏州创智科技"/>
    <s v="苏州创智科技"/>
    <s v="KH010"/>
    <s v="KH010"/>
    <d v="2026-08-17T00:00:00"/>
    <s v="0197"/>
    <s v="A"/>
    <s v="陈静"/>
    <s v="华东"/>
    <s v="华东"/>
    <s v="CP005"/>
    <s v="台式电脑 PowerDesk 500"/>
    <n v="4299"/>
    <n v="8"/>
    <n v="8"/>
    <n v="1"/>
    <n v="34392"/>
    <n v="34392"/>
    <s v="已完成"/>
  </r>
  <r>
    <x v="197"/>
    <d v="2026-08-17T00:00:00"/>
    <s v="2026-08-17"/>
    <s v="KH017"/>
    <s v="郑州中原物流"/>
    <s v="郑州中原物流"/>
    <s v="KH017"/>
    <s v="KH017"/>
    <d v="2026-08-17T00:00:00"/>
    <s v="0198"/>
    <s v="B"/>
    <s v="孙悦"/>
    <s v="华中区"/>
    <s v="华中"/>
    <s v="CP005"/>
    <s v="台式电脑 PowerDesk 500"/>
    <n v="4299"/>
    <n v="12"/>
    <n v="12"/>
    <n v="0.95"/>
    <n v="51588"/>
    <n v="51588"/>
    <s v="已完成"/>
  </r>
  <r>
    <x v="198"/>
    <d v="2026-08-18T00:00:00"/>
    <s v="2026-08-18"/>
    <s v="KH016"/>
    <s v="昆明滇池科技"/>
    <s v="昆明滇池科技"/>
    <s v="KH016"/>
    <s v="KH016"/>
    <d v="2026-08-18T00:00:00"/>
    <s v="0199"/>
    <s v="C"/>
    <s v="陈静"/>
    <s v="西南"/>
    <s v="西南"/>
    <s v="CP006"/>
    <s v="显示器 ViewMax 27"/>
    <n v="1299"/>
    <n v="5"/>
    <n v="5"/>
    <n v="1"/>
    <n v="6495"/>
    <n v="6495"/>
    <s v="已完成"/>
  </r>
  <r>
    <x v="199"/>
    <d v="2026-08-20T00:00:00"/>
    <s v="2026-08-20"/>
    <s v="KH012"/>
    <s v="长沙麓山科技"/>
    <s v="长沙麓山科技"/>
    <s v="KH012"/>
    <s v="KH012"/>
    <d v="2026-08-20T00:00:00"/>
    <s v="0200"/>
    <s v="B"/>
    <s v="杨帆"/>
    <s v="华中 "/>
    <s v="华中"/>
    <s v="CP001"/>
    <s v="激光打印机 ProLaser 200"/>
    <n v="2499"/>
    <n v="4"/>
    <n v="4"/>
    <n v="1"/>
    <s v="¥9,996.00"/>
    <n v="9996"/>
    <s v="已发货"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  <r>
    <x v="200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x v="0"/>
    <x v="0"/>
    <s v="2026-01-01"/>
    <s v="KH003"/>
    <x v="0"/>
    <s v="广州启航教育"/>
    <s v="KH003"/>
    <s v="KH003"/>
    <x v="0"/>
    <s v="0001"/>
    <s v="A"/>
    <x v="0"/>
    <s v=" 华南"/>
    <x v="0"/>
    <s v="CP011"/>
    <s v="办公软件年费授权"/>
    <n v="699"/>
    <m/>
    <n v="11"/>
    <n v="0.95"/>
    <n v="7689"/>
    <x v="0"/>
    <x v="0"/>
    <n v="7304.5499999999993"/>
  </r>
  <r>
    <x v="1"/>
    <x v="1"/>
    <s v="2026-01-03"/>
    <s v="KH002"/>
    <x v="1"/>
    <s v="上海锦程贸易"/>
    <s v="KH002"/>
    <s v="KH002"/>
    <x v="1"/>
    <s v="0002"/>
    <s v="B"/>
    <x v="1"/>
    <s v="华东"/>
    <x v="1"/>
    <s v="CP007"/>
    <s v="无线键鼠套装 KeyFree 2.0"/>
    <n v="299"/>
    <n v="9"/>
    <n v="9"/>
    <n v="1"/>
    <n v="2691"/>
    <x v="1"/>
    <x v="1"/>
    <n v="2691"/>
  </r>
  <r>
    <x v="2"/>
    <x v="1"/>
    <s v="2026-01-03"/>
    <s v="KH003"/>
    <x v="0"/>
    <s v="广州启航教育"/>
    <s v="KH003"/>
    <s v="KH003"/>
    <x v="1"/>
    <s v="0003"/>
    <s v="A"/>
    <x v="2"/>
    <s v="华南"/>
    <x v="0"/>
    <s v="CP003"/>
    <s v="碎纸机 SafeCut S8"/>
    <n v="899"/>
    <s v="1"/>
    <n v="1"/>
    <n v="1"/>
    <n v="899"/>
    <x v="2"/>
    <x v="1"/>
    <n v="899"/>
  </r>
  <r>
    <x v="3"/>
    <x v="2"/>
    <s v="2026-01-07"/>
    <s v="KH012"/>
    <x v="2"/>
    <s v="长沙麓山科技"/>
    <s v="KH012"/>
    <s v="KH012"/>
    <x v="2"/>
    <s v="0004"/>
    <s v="B"/>
    <x v="0"/>
    <s v="华中区"/>
    <x v="2"/>
    <s v="CP003"/>
    <s v="碎纸机 SafeCut S8"/>
    <n v="899"/>
    <n v="6"/>
    <n v="6"/>
    <n v="1"/>
    <n v="5394"/>
    <x v="3"/>
    <x v="1"/>
    <n v="5394"/>
  </r>
  <r>
    <x v="4"/>
    <x v="3"/>
    <s v="2026-01-07"/>
    <s v="KH019"/>
    <x v="3"/>
    <s v="北京中关新材"/>
    <s v="KH019"/>
    <s v="KH019"/>
    <x v="2"/>
    <s v="0005"/>
    <s v="B"/>
    <x v="3"/>
    <s v="华北"/>
    <x v="3"/>
    <s v="CP008"/>
    <s v="A4复印纸（5包/箱）"/>
    <n v="128"/>
    <n v="70"/>
    <n v="70"/>
    <n v="0.9"/>
    <n v="8960"/>
    <x v="4"/>
    <x v="0"/>
    <n v="8064"/>
  </r>
  <r>
    <x v="5"/>
    <x v="4"/>
    <s v="2026-01-09"/>
    <s v="KH017"/>
    <x v="4"/>
    <s v="郑州中原物流"/>
    <s v="KH017"/>
    <s v="KH017"/>
    <x v="3"/>
    <s v="0006"/>
    <s v="B"/>
    <x v="4"/>
    <s v="华中"/>
    <x v="2"/>
    <s v="CP008"/>
    <s v="A4复印纸（5包/箱）"/>
    <n v="128"/>
    <s v="20"/>
    <n v="20"/>
    <n v="0.95"/>
    <n v="2560"/>
    <x v="5"/>
    <x v="1"/>
    <n v="2432"/>
  </r>
  <r>
    <x v="6"/>
    <x v="4"/>
    <s v="2026-01-09"/>
    <s v="KH019"/>
    <x v="3"/>
    <s v="北京中关新材"/>
    <s v="KH019"/>
    <s v="KH019"/>
    <x v="3"/>
    <s v="0007"/>
    <s v="B"/>
    <x v="2"/>
    <s v="华北"/>
    <x v="3"/>
    <s v="CP010"/>
    <s v="签字笔盒装（12支）"/>
    <n v="45"/>
    <n v="85"/>
    <n v="85"/>
    <n v="0.9"/>
    <n v="3825"/>
    <x v="6"/>
    <x v="2"/>
    <n v="3442.5"/>
  </r>
  <r>
    <x v="7"/>
    <x v="5"/>
    <s v="2026-01-13"/>
    <s v="KH007"/>
    <x v="5"/>
    <s v="武汉长江实业"/>
    <s v="KH007"/>
    <s v="KH007"/>
    <x v="4"/>
    <s v="0008"/>
    <s v="B"/>
    <x v="4"/>
    <s v="华中"/>
    <x v="2"/>
    <s v="CP003"/>
    <s v="碎纸机 SafeCut S8"/>
    <n v="899"/>
    <n v="4"/>
    <n v="4"/>
    <n v="1"/>
    <n v="3596"/>
    <x v="7"/>
    <x v="2"/>
    <n v="3596"/>
  </r>
  <r>
    <x v="8"/>
    <x v="6"/>
    <s v="2026-01-17"/>
    <s v="KH002"/>
    <x v="1"/>
    <s v="上海锦程贸易"/>
    <s v="KH002"/>
    <s v="KH002"/>
    <x v="5"/>
    <s v="0009"/>
    <s v="B"/>
    <x v="5"/>
    <s v="华东"/>
    <x v="1"/>
    <s v="CP011"/>
    <s v="办公软件年费授权"/>
    <n v="699"/>
    <n v="5"/>
    <n v="5"/>
    <n v="1"/>
    <n v="3495"/>
    <x v="8"/>
    <x v="1"/>
    <n v="3495"/>
  </r>
  <r>
    <x v="9"/>
    <x v="7"/>
    <s v="2026-01-20"/>
    <s v="KH019"/>
    <x v="3"/>
    <s v="北京中关新材"/>
    <s v="KH019"/>
    <s v="KH019"/>
    <x v="6"/>
    <s v="0010"/>
    <s v="B"/>
    <x v="0"/>
    <s v="华北"/>
    <x v="3"/>
    <s v="CP012"/>
    <s v="云存储服务（1TB/年） "/>
    <n v="599"/>
    <n v="3"/>
    <n v="3"/>
    <n v="1"/>
    <n v="1797"/>
    <x v="9"/>
    <x v="2"/>
    <n v="1797"/>
  </r>
  <r>
    <x v="10"/>
    <x v="8"/>
    <s v="2026-01-21"/>
    <s v="KH005"/>
    <x v="6"/>
    <s v="杭州云图信息"/>
    <s v="KH005"/>
    <s v="KH005"/>
    <x v="7"/>
    <s v="0011"/>
    <s v="A"/>
    <x v="0"/>
    <s v="华东"/>
    <x v="1"/>
    <s v="CP006"/>
    <s v="显示器 ViewMax 27"/>
    <n v="1299"/>
    <n v="2"/>
    <n v="2"/>
    <n v="1"/>
    <n v="2598"/>
    <x v="10"/>
    <x v="0"/>
    <n v="2598"/>
  </r>
  <r>
    <x v="11"/>
    <x v="9"/>
    <s v="2026-01-23"/>
    <s v="KH011"/>
    <x v="7"/>
    <s v="重庆山城办公设备"/>
    <s v="KH011"/>
    <s v="KH011"/>
    <x v="8"/>
    <s v="0012"/>
    <s v="B"/>
    <x v="6"/>
    <s v="西南"/>
    <x v="4"/>
    <s v="CP011"/>
    <s v="办公软件年费授权"/>
    <n v="699"/>
    <s v="11"/>
    <n v="11"/>
    <n v="0.95"/>
    <n v="7689"/>
    <x v="0"/>
    <x v="2"/>
    <n v="7304.5499999999993"/>
  </r>
  <r>
    <x v="12"/>
    <x v="10"/>
    <s v="2026-01-24"/>
    <s v="KH006"/>
    <x v="8"/>
    <s v="成都天府商贸"/>
    <s v="KH006"/>
    <s v="KH006"/>
    <x v="9"/>
    <s v="0013"/>
    <s v="C"/>
    <x v="1"/>
    <s v="西南"/>
    <x v="4"/>
    <s v="CP009"/>
    <s v="激光硒鼓 TonerMax 12A"/>
    <n v="385"/>
    <n v="96"/>
    <n v="96"/>
    <n v="0.9"/>
    <n v="36960"/>
    <x v="11"/>
    <x v="2"/>
    <n v="33264"/>
  </r>
  <r>
    <x v="13"/>
    <x v="11"/>
    <s v="2026-01-25"/>
    <s v="KH001"/>
    <x v="9"/>
    <s v="北京华信科技"/>
    <s v="KH001"/>
    <s v="KH001"/>
    <x v="10"/>
    <s v="0014"/>
    <s v="A"/>
    <x v="7"/>
    <s v="华北"/>
    <x v="3"/>
    <s v="CP009"/>
    <s v="激光硒鼓 TonerMax 12A"/>
    <n v="385"/>
    <s v="32"/>
    <n v="32"/>
    <n v="0.95"/>
    <n v="12320"/>
    <x v="12"/>
    <x v="1"/>
    <n v="11704"/>
  </r>
  <r>
    <x v="14"/>
    <x v="12"/>
    <s v="2026-01-26"/>
    <s v="KH019"/>
    <x v="3"/>
    <s v="北京中关新材"/>
    <s v="KH019"/>
    <s v="KH019"/>
    <x v="11"/>
    <s v="0015"/>
    <s v="B"/>
    <x v="0"/>
    <s v="华北"/>
    <x v="3"/>
    <s v="CP001"/>
    <s v="激光打印机 ProLaser 200"/>
    <n v="2499"/>
    <m/>
    <n v="4"/>
    <n v="1"/>
    <n v="9996"/>
    <x v="13"/>
    <x v="1"/>
    <n v="9996"/>
  </r>
  <r>
    <x v="15"/>
    <x v="13"/>
    <s v="2026-08-16"/>
    <s v="KH016"/>
    <x v="10"/>
    <s v="昆明滇池科技"/>
    <s v="KH016"/>
    <s v="KH016"/>
    <x v="12"/>
    <s v="0196"/>
    <s v="C"/>
    <x v="4"/>
    <s v="西南区"/>
    <x v="4"/>
    <s v="CP008"/>
    <s v="A4复印纸（5包/箱）"/>
    <n v="128"/>
    <n v="77"/>
    <n v="77"/>
    <n v="0.9"/>
    <n v="9856"/>
    <x v="14"/>
    <x v="2"/>
    <n v="8870.4"/>
  </r>
  <r>
    <x v="16"/>
    <x v="12"/>
    <s v="2026-01-26"/>
    <s v="KH017"/>
    <x v="4"/>
    <s v="郑州中原物流"/>
    <s v="KH017"/>
    <s v="KH017"/>
    <x v="11"/>
    <s v="0016"/>
    <s v="B"/>
    <x v="3"/>
    <s v="华中区"/>
    <x v="2"/>
    <s v="CP003"/>
    <s v="碎纸机 SafeCut S8"/>
    <n v="899"/>
    <n v="4"/>
    <n v="4"/>
    <n v="1"/>
    <n v="3596"/>
    <x v="7"/>
    <x v="2"/>
    <n v="3596"/>
  </r>
  <r>
    <x v="17"/>
    <x v="14"/>
    <s v="2026-01-27"/>
    <s v="KH017"/>
    <x v="4"/>
    <s v="郑州中原物流"/>
    <s v="KH017"/>
    <s v="KH017"/>
    <x v="13"/>
    <s v="0017"/>
    <s v="B"/>
    <x v="4"/>
    <s v="华中"/>
    <x v="2"/>
    <s v="CP007"/>
    <s v="无线键鼠套装 KeyFree 2.0"/>
    <n v="299"/>
    <n v="7"/>
    <n v="7"/>
    <n v="1"/>
    <n v="2093"/>
    <x v="15"/>
    <x v="3"/>
    <n v="2093"/>
  </r>
  <r>
    <x v="18"/>
    <x v="14"/>
    <s v="2026-01-27"/>
    <s v="KH007"/>
    <x v="5"/>
    <s v="武汉长江实业"/>
    <s v="KH007"/>
    <s v="KH007"/>
    <x v="13"/>
    <s v="0018"/>
    <s v="B"/>
    <x v="2"/>
    <s v="华中"/>
    <x v="2"/>
    <s v="CP004"/>
    <s v="笔记本电脑 TechBook 14 "/>
    <n v="5699"/>
    <n v="3"/>
    <n v="3"/>
    <n v="1"/>
    <n v="17097"/>
    <x v="16"/>
    <x v="2"/>
    <n v="17097"/>
  </r>
  <r>
    <x v="19"/>
    <x v="15"/>
    <s v="2026-01-29"/>
    <s v="KH020"/>
    <x v="11"/>
    <s v="合肥科大国创"/>
    <s v="KH020"/>
    <s v="KH020"/>
    <x v="14"/>
    <s v="0019"/>
    <s v="C"/>
    <x v="0"/>
    <s v="华东"/>
    <x v="1"/>
    <s v="CP011"/>
    <s v="办公软件年费授权 "/>
    <n v="699"/>
    <n v="20"/>
    <n v="20"/>
    <n v="0.95"/>
    <n v="13980"/>
    <x v="17"/>
    <x v="2"/>
    <n v="13281"/>
  </r>
  <r>
    <x v="20"/>
    <x v="16"/>
    <s v="2026-01-30"/>
    <s v="KH010"/>
    <x v="12"/>
    <s v="苏州创智科技"/>
    <s v="KH010"/>
    <s v="KH010"/>
    <x v="15"/>
    <s v="0020"/>
    <s v="A"/>
    <x v="2"/>
    <s v="华东"/>
    <x v="1"/>
    <s v="CP007"/>
    <s v="无线键鼠套装 KeyFree 2.0"/>
    <n v="299"/>
    <n v="9"/>
    <n v="9"/>
    <n v="1"/>
    <s v="¥2,691.00"/>
    <x v="1"/>
    <x v="3"/>
    <n v="2691"/>
  </r>
  <r>
    <x v="21"/>
    <x v="17"/>
    <s v="2026-01-31"/>
    <s v="KH017"/>
    <x v="4"/>
    <s v="郑州中原物流"/>
    <s v="KH017"/>
    <s v="KH017"/>
    <x v="16"/>
    <s v="0021"/>
    <s v="B"/>
    <x v="0"/>
    <s v="华中"/>
    <x v="2"/>
    <s v="CP004"/>
    <s v="笔记本电脑 TechBook 14"/>
    <n v="5699"/>
    <n v="2"/>
    <n v="2"/>
    <n v="1"/>
    <n v="11398"/>
    <x v="18"/>
    <x v="1"/>
    <n v="11398"/>
  </r>
  <r>
    <x v="22"/>
    <x v="18"/>
    <s v="2026-02-01"/>
    <s v="KH007"/>
    <x v="5"/>
    <s v="武汉长江实业"/>
    <s v="KH007"/>
    <s v="KH007"/>
    <x v="17"/>
    <s v="0022"/>
    <s v="B"/>
    <x v="3"/>
    <s v="华中"/>
    <x v="2"/>
    <s v="CP010"/>
    <s v="签字笔盒装（12支）"/>
    <n v="45"/>
    <n v="118"/>
    <n v="118"/>
    <n v="0.85"/>
    <n v="5310"/>
    <x v="19"/>
    <x v="0"/>
    <n v="4513.5"/>
  </r>
  <r>
    <x v="23"/>
    <x v="19"/>
    <s v="2026-02-03"/>
    <s v="KH006"/>
    <x v="8"/>
    <s v="成都天府商贸"/>
    <s v="KH006"/>
    <s v="KH006"/>
    <x v="18"/>
    <s v="0023"/>
    <s v="C"/>
    <x v="1"/>
    <s v="西南"/>
    <x v="4"/>
    <s v="CP003"/>
    <s v="碎纸机 SafeCut S8"/>
    <n v="899"/>
    <n v="4"/>
    <n v="4"/>
    <n v="1"/>
    <n v="3596"/>
    <x v="7"/>
    <x v="1"/>
    <n v="3596"/>
  </r>
  <r>
    <x v="24"/>
    <x v="20"/>
    <s v="2026-02-06"/>
    <s v="KH005"/>
    <x v="6"/>
    <s v="杭州云图信息"/>
    <s v="KH005"/>
    <s v="KH005"/>
    <x v="19"/>
    <s v="0024"/>
    <s v="A"/>
    <x v="6"/>
    <s v="华东"/>
    <x v="1"/>
    <s v="CP010"/>
    <s v="签字笔盒装（12支）"/>
    <n v="45"/>
    <n v="103"/>
    <n v="103"/>
    <n v="0.85"/>
    <n v="4635"/>
    <x v="20"/>
    <x v="2"/>
    <n v="3939.75"/>
  </r>
  <r>
    <x v="25"/>
    <x v="21"/>
    <s v="2026-07-03"/>
    <s v="KH009"/>
    <x v="13"/>
    <s v="天津海河传媒"/>
    <s v="KH009"/>
    <s v="KH009"/>
    <x v="20"/>
    <s v="0152"/>
    <s v="C"/>
    <x v="5"/>
    <s v="华北区"/>
    <x v="3"/>
    <s v="CP009"/>
    <s v="激光硒鼓 TonerMax 12A"/>
    <n v="385"/>
    <n v="97"/>
    <n v="97"/>
    <n v="0.9"/>
    <n v="37345"/>
    <x v="21"/>
    <x v="2"/>
    <n v="33610.5"/>
  </r>
  <r>
    <x v="26"/>
    <x v="20"/>
    <s v="2026-02-06"/>
    <s v="KH011"/>
    <x v="7"/>
    <s v="重庆山城办公设备"/>
    <s v="KH011"/>
    <s v="KH011"/>
    <x v="19"/>
    <s v="0025"/>
    <s v="B"/>
    <x v="1"/>
    <s v="西南"/>
    <x v="4"/>
    <s v="CP009"/>
    <s v="激光硒鼓 TonerMax 12A"/>
    <n v="385"/>
    <n v="26"/>
    <n v="26"/>
    <n v="0.95"/>
    <n v="10010"/>
    <x v="22"/>
    <x v="3"/>
    <n v="9509.5"/>
  </r>
  <r>
    <x v="27"/>
    <x v="22"/>
    <s v="2026-02-08"/>
    <s v="KH002"/>
    <x v="1"/>
    <s v="上海锦程贸易"/>
    <s v="KH002"/>
    <s v="KH002"/>
    <x v="21"/>
    <s v="0026"/>
    <s v="B"/>
    <x v="7"/>
    <s v="华东"/>
    <x v="1"/>
    <s v="CP007"/>
    <s v="无线键鼠套装 KeyFree 2.0"/>
    <n v="299"/>
    <n v="2"/>
    <n v="2"/>
    <n v="1"/>
    <n v="598"/>
    <x v="23"/>
    <x v="1"/>
    <n v="598"/>
  </r>
  <r>
    <x v="28"/>
    <x v="23"/>
    <s v="2026-02-16"/>
    <s v="KH014"/>
    <x v="14"/>
    <s v="宁波海港实业"/>
    <s v="KH014"/>
    <s v="KH014"/>
    <x v="22"/>
    <s v="0027"/>
    <s v="B"/>
    <x v="1"/>
    <s v="华东区"/>
    <x v="1"/>
    <s v="CP004"/>
    <s v="笔记本电脑 TechBook 14"/>
    <n v="5699"/>
    <n v="11"/>
    <n v="11"/>
    <n v="0.95"/>
    <s v="¥62,689.00"/>
    <x v="24"/>
    <x v="2"/>
    <n v="59554.549999999996"/>
  </r>
  <r>
    <x v="29"/>
    <x v="24"/>
    <s v="2026-02-21"/>
    <s v="KH005"/>
    <x v="6"/>
    <s v="杭州云图信息"/>
    <s v="KH005"/>
    <s v="KH005"/>
    <x v="23"/>
    <s v="0028"/>
    <s v="A"/>
    <x v="5"/>
    <s v="华东"/>
    <x v="1"/>
    <s v="CP011"/>
    <s v="办公软件年费授权"/>
    <n v="699"/>
    <n v="20"/>
    <n v="20"/>
    <n v="0.95"/>
    <n v="13980"/>
    <x v="17"/>
    <x v="2"/>
    <n v="13281"/>
  </r>
  <r>
    <x v="30"/>
    <x v="25"/>
    <s v="2026-02-21"/>
    <s v="KH005"/>
    <x v="6"/>
    <s v="杭州云图信息"/>
    <s v="KH005"/>
    <s v="KH005"/>
    <x v="23"/>
    <s v="0029"/>
    <s v="A"/>
    <x v="4"/>
    <s v="华东"/>
    <x v="1"/>
    <s v="CP001"/>
    <s v="激光打印机 ProLaser 200"/>
    <n v="2499"/>
    <n v="5"/>
    <n v="5"/>
    <n v="1"/>
    <n v="12495"/>
    <x v="25"/>
    <x v="0"/>
    <n v="12495"/>
  </r>
  <r>
    <x v="31"/>
    <x v="26"/>
    <s v="2026-05-12"/>
    <s v="KH014"/>
    <x v="14"/>
    <s v="宁波海港实业"/>
    <s v="KH014"/>
    <s v="KH014"/>
    <x v="24"/>
    <s v="0102"/>
    <s v="B"/>
    <x v="3"/>
    <s v="华东"/>
    <x v="1"/>
    <s v="CP004"/>
    <s v="笔记本电脑 TechBook 14"/>
    <n v="5699"/>
    <n v="13"/>
    <n v="13"/>
    <n v="0.95"/>
    <n v="74087"/>
    <x v="26"/>
    <x v="1"/>
    <n v="70382.649999999994"/>
  </r>
  <r>
    <x v="32"/>
    <x v="27"/>
    <s v="2026-02-23"/>
    <s v="KH001"/>
    <x v="9"/>
    <s v="北京华信科技"/>
    <s v="KH001"/>
    <s v="KH001"/>
    <x v="25"/>
    <s v="0030"/>
    <s v="A"/>
    <x v="1"/>
    <s v="华北"/>
    <x v="3"/>
    <s v="CP004"/>
    <s v="笔记本电脑 TechBook 14"/>
    <n v="5699"/>
    <s v="5"/>
    <n v="5"/>
    <n v="1"/>
    <n v="28495"/>
    <x v="27"/>
    <x v="2"/>
    <n v="28495"/>
  </r>
  <r>
    <x v="33"/>
    <x v="28"/>
    <s v="2026-02-27"/>
    <s v="KH011"/>
    <x v="7"/>
    <s v="重庆山城办公设备"/>
    <s v="KH011"/>
    <s v="KH011"/>
    <x v="26"/>
    <s v="0031"/>
    <s v="B"/>
    <x v="5"/>
    <s v="西南"/>
    <x v="4"/>
    <s v="CP012"/>
    <s v="云存储服务（1TB/年）"/>
    <n v="599"/>
    <n v="24"/>
    <n v="24"/>
    <n v="0.95"/>
    <n v="14376"/>
    <x v="28"/>
    <x v="1"/>
    <n v="13657.199999999999"/>
  </r>
  <r>
    <x v="34"/>
    <x v="29"/>
    <s v="2026-03-08"/>
    <s v="KH008"/>
    <x v="15"/>
    <s v="南京紫金山软件园运营"/>
    <s v="KH008"/>
    <s v="KH008"/>
    <x v="27"/>
    <s v="0037"/>
    <s v="C"/>
    <x v="5"/>
    <s v="华东"/>
    <x v="1"/>
    <s v="CP008"/>
    <s v="A4复印纸（5包/箱）"/>
    <n v="128"/>
    <n v="12"/>
    <n v="12"/>
    <n v="0.95"/>
    <n v="1536"/>
    <x v="29"/>
    <x v="2"/>
    <n v="1459.1999999999998"/>
  </r>
  <r>
    <x v="35"/>
    <x v="30"/>
    <s v="2026-02-27"/>
    <s v="KH012"/>
    <x v="2"/>
    <s v="长沙麓山科技"/>
    <s v="KH012"/>
    <s v="KH012"/>
    <x v="26"/>
    <s v="0032"/>
    <s v="B"/>
    <x v="7"/>
    <s v="华中"/>
    <x v="2"/>
    <s v="CP009"/>
    <s v="激光硒鼓 TonerMax 12A"/>
    <n v="385"/>
    <n v="88"/>
    <n v="88"/>
    <n v="0.9"/>
    <n v="33880"/>
    <x v="30"/>
    <x v="0"/>
    <n v="30492"/>
  </r>
  <r>
    <x v="36"/>
    <x v="31"/>
    <s v="2026-02-28"/>
    <s v="KH005"/>
    <x v="6"/>
    <s v="杭州云图信息"/>
    <s v="KH005"/>
    <s v="KH005"/>
    <x v="28"/>
    <s v="0033"/>
    <s v="A"/>
    <x v="4"/>
    <s v="华东区"/>
    <x v="1"/>
    <s v="CP004"/>
    <s v="笔记本电脑 TechBook 14"/>
    <n v="5699"/>
    <n v="8"/>
    <n v="8"/>
    <n v="1"/>
    <s v="¥45,592.00"/>
    <x v="31"/>
    <x v="0"/>
    <n v="45592"/>
  </r>
  <r>
    <x v="37"/>
    <x v="32"/>
    <s v="2026-03-03"/>
    <s v="KH017"/>
    <x v="4"/>
    <s v="郑州中原物流"/>
    <s v="KH017"/>
    <s v="KH017"/>
    <x v="29"/>
    <s v="0034"/>
    <s v="B"/>
    <x v="2"/>
    <s v="华中"/>
    <x v="2"/>
    <s v="CP009"/>
    <s v="激光硒鼓 TonerMax 12A"/>
    <n v="385"/>
    <n v="120"/>
    <n v="120"/>
    <n v="0.85"/>
    <n v="46200"/>
    <x v="32"/>
    <x v="2"/>
    <n v="39270"/>
  </r>
  <r>
    <x v="38"/>
    <x v="33"/>
    <s v="2026-03-06"/>
    <s v="KH019"/>
    <x v="3"/>
    <s v="北京中关新材"/>
    <s v="KH019"/>
    <s v="KH019"/>
    <x v="30"/>
    <s v="0035"/>
    <s v="B"/>
    <x v="4"/>
    <s v="华北"/>
    <x v="3"/>
    <s v="CP006"/>
    <s v="显示器 ViewMax 27"/>
    <n v="1299"/>
    <n v="12"/>
    <n v="12"/>
    <n v="0.95"/>
    <n v="15588"/>
    <x v="33"/>
    <x v="3"/>
    <n v="14808.599999999999"/>
  </r>
  <r>
    <x v="39"/>
    <x v="33"/>
    <s v="2026-03-06"/>
    <s v="KH005"/>
    <x v="6"/>
    <s v="杭州云图信息"/>
    <s v="KH005"/>
    <s v="KH005"/>
    <x v="30"/>
    <s v="0036"/>
    <s v="A"/>
    <x v="1"/>
    <s v="华东"/>
    <x v="1"/>
    <s v="CP006"/>
    <s v="显示器 ViewMax 27"/>
    <n v="1299"/>
    <n v="12"/>
    <n v="12"/>
    <n v="0.95"/>
    <n v="15588"/>
    <x v="33"/>
    <x v="2"/>
    <n v="14808.599999999999"/>
  </r>
  <r>
    <x v="40"/>
    <x v="29"/>
    <s v="2026-03-08"/>
    <s v="KH001"/>
    <x v="9"/>
    <s v="北京华信科技"/>
    <s v="KH001"/>
    <s v="KH001"/>
    <x v="27"/>
    <s v="0038"/>
    <s v="A"/>
    <x v="1"/>
    <s v="华北"/>
    <x v="3"/>
    <s v="CP012"/>
    <s v="云存储服务（1TB/年）"/>
    <n v="599"/>
    <n v="12"/>
    <n v="12"/>
    <n v="0.95"/>
    <n v="7188"/>
    <x v="34"/>
    <x v="2"/>
    <n v="6828.5999999999995"/>
  </r>
  <r>
    <x v="41"/>
    <x v="29"/>
    <s v="2026-03-08"/>
    <s v="KH002"/>
    <x v="1"/>
    <s v="上海锦程贸易"/>
    <s v="KH002"/>
    <s v="KH002"/>
    <x v="27"/>
    <s v="0039"/>
    <s v="B"/>
    <x v="2"/>
    <s v="华东"/>
    <x v="1"/>
    <s v="CP006"/>
    <s v="显示器 ViewMax 27"/>
    <n v="1299"/>
    <n v="11"/>
    <n v="11"/>
    <n v="0.95"/>
    <n v="14289"/>
    <x v="35"/>
    <x v="2"/>
    <n v="13574.55"/>
  </r>
  <r>
    <x v="42"/>
    <x v="34"/>
    <s v="2026-03-10"/>
    <s v="KH011"/>
    <x v="7"/>
    <s v="重庆山城办公设备"/>
    <s v="KH011"/>
    <s v="KH011"/>
    <x v="31"/>
    <s v="0040"/>
    <s v="B"/>
    <x v="4"/>
    <s v="西南"/>
    <x v="4"/>
    <s v="CP006"/>
    <s v="显示器 ViewMax 27"/>
    <n v="1299"/>
    <n v="7"/>
    <n v="7"/>
    <n v="1"/>
    <n v="9093"/>
    <x v="36"/>
    <x v="2"/>
    <n v="9093"/>
  </r>
  <r>
    <x v="43"/>
    <x v="34"/>
    <s v="2026-03-10"/>
    <s v="KH008"/>
    <x v="15"/>
    <s v="南京紫金山软件园运营"/>
    <s v="KH008"/>
    <s v="KH008"/>
    <x v="31"/>
    <s v="0041"/>
    <s v="C"/>
    <x v="3"/>
    <s v="华东"/>
    <x v="1"/>
    <s v="CP004"/>
    <s v="笔记本电脑 TechBook 14"/>
    <n v="5699"/>
    <n v="3"/>
    <n v="3"/>
    <n v="1"/>
    <n v="17097"/>
    <x v="16"/>
    <x v="2"/>
    <n v="17097"/>
  </r>
  <r>
    <x v="44"/>
    <x v="35"/>
    <s v="2026-03-15"/>
    <s v="KH013"/>
    <x v="16"/>
    <s v="石家庄振华商贸"/>
    <s v="KH013"/>
    <s v="KH013"/>
    <x v="32"/>
    <s v="0042"/>
    <s v="C"/>
    <x v="4"/>
    <s v="华北"/>
    <x v="3"/>
    <s v="CP012"/>
    <s v="云存储服务（1TB/年）"/>
    <n v="599"/>
    <n v="37"/>
    <n v="37"/>
    <n v="0.95"/>
    <n v="22163"/>
    <x v="37"/>
    <x v="3"/>
    <n v="21054.85"/>
  </r>
  <r>
    <x v="45"/>
    <x v="35"/>
    <s v="2026-03-15"/>
    <s v="KH015"/>
    <x v="17"/>
    <s v="佛山美的家电商贸"/>
    <s v="KH015"/>
    <s v="KH015"/>
    <x v="32"/>
    <s v="0043"/>
    <s v="A"/>
    <x v="2"/>
    <s v="华南"/>
    <x v="0"/>
    <s v="CP004"/>
    <s v="笔记本电脑 TechBook 14"/>
    <n v="5699"/>
    <n v="1"/>
    <n v="1"/>
    <n v="1"/>
    <n v="5699"/>
    <x v="38"/>
    <x v="2"/>
    <n v="5699"/>
  </r>
  <r>
    <x v="46"/>
    <x v="36"/>
    <s v="2026-03-16"/>
    <s v="KH008"/>
    <x v="15"/>
    <s v="南京紫金山软件园运营"/>
    <s v="KH008"/>
    <s v="KH008"/>
    <x v="33"/>
    <s v="0044"/>
    <s v="C"/>
    <x v="1"/>
    <s v="华东"/>
    <x v="1"/>
    <s v="CP012"/>
    <s v="云存储服务（1TB/年）"/>
    <n v="599"/>
    <n v="10"/>
    <n v="10"/>
    <n v="0.95"/>
    <n v="5990"/>
    <x v="39"/>
    <x v="3"/>
    <n v="5690.5"/>
  </r>
  <r>
    <x v="47"/>
    <x v="36"/>
    <s v="2026-03-16"/>
    <s v="KH010"/>
    <x v="12"/>
    <s v="苏州创智科技"/>
    <s v="KH010"/>
    <s v="KH010"/>
    <x v="33"/>
    <s v="0045"/>
    <s v="A"/>
    <x v="2"/>
    <s v="华东"/>
    <x v="1"/>
    <s v="CP009"/>
    <s v="激光硒鼓 TonerMax 12A"/>
    <n v="385"/>
    <n v="115"/>
    <n v="115"/>
    <n v="0.85"/>
    <n v="44275"/>
    <x v="40"/>
    <x v="2"/>
    <n v="37633.75"/>
  </r>
  <r>
    <x v="48"/>
    <x v="37"/>
    <s v="2026-03-17"/>
    <s v="KH010"/>
    <x v="12"/>
    <s v="苏州创智科技"/>
    <s v="KH010"/>
    <s v="KH010"/>
    <x v="34"/>
    <s v="0046"/>
    <s v="A"/>
    <x v="7"/>
    <s v="华东"/>
    <x v="1"/>
    <s v="CP010"/>
    <s v="签字笔盒装（12支）"/>
    <n v="45"/>
    <n v="17"/>
    <n v="17"/>
    <n v="0.95"/>
    <s v="¥765.00"/>
    <x v="41"/>
    <x v="1"/>
    <n v="726.75"/>
  </r>
  <r>
    <x v="49"/>
    <x v="38"/>
    <s v="2026-03-20"/>
    <s v="KH004"/>
    <x v="18"/>
    <s v="深圳蓝鲸网络"/>
    <s v="KH004"/>
    <s v="KH004"/>
    <x v="35"/>
    <s v="0047"/>
    <s v="B"/>
    <x v="3"/>
    <s v="华南"/>
    <x v="0"/>
    <s v="CP001"/>
    <s v="激光打印机 ProLaser 200"/>
    <n v="2499"/>
    <n v="4"/>
    <n v="4"/>
    <n v="1"/>
    <n v="9996"/>
    <x v="13"/>
    <x v="0"/>
    <n v="9996"/>
  </r>
  <r>
    <x v="50"/>
    <x v="39"/>
    <s v="2026-03-21"/>
    <s v="KH018"/>
    <x v="19"/>
    <s v="厦门鹭岛文创"/>
    <s v="KH018"/>
    <s v="KH018"/>
    <x v="36"/>
    <s v="0048"/>
    <s v="C"/>
    <x v="6"/>
    <s v="华南区"/>
    <x v="0"/>
    <s v="CP007"/>
    <s v="无线键鼠套装 KeyFree 2.0"/>
    <n v="299"/>
    <n v="6"/>
    <n v="6"/>
    <n v="1"/>
    <n v="1794"/>
    <x v="42"/>
    <x v="2"/>
    <n v="1794"/>
  </r>
  <r>
    <x v="51"/>
    <x v="40"/>
    <s v="2026-03-22"/>
    <s v="KH005"/>
    <x v="6"/>
    <s v="杭州云图信息"/>
    <s v="KH005"/>
    <s v="KH005"/>
    <x v="37"/>
    <s v="0049"/>
    <s v="A"/>
    <x v="5"/>
    <s v="华东"/>
    <x v="1"/>
    <s v="CP011"/>
    <s v="办公软件年费授权"/>
    <n v="699"/>
    <n v="25"/>
    <n v="25"/>
    <n v="0.95"/>
    <n v="17475"/>
    <x v="43"/>
    <x v="2"/>
    <n v="16601.25"/>
  </r>
  <r>
    <x v="52"/>
    <x v="41"/>
    <s v="2026-03-23"/>
    <s v="KH009"/>
    <x v="13"/>
    <s v="天津海河传媒"/>
    <s v="KH009"/>
    <s v="KH009"/>
    <x v="38"/>
    <s v="0050"/>
    <s v="C"/>
    <x v="2"/>
    <s v="华北"/>
    <x v="3"/>
    <s v="CP011"/>
    <s v="办公软件年费授权"/>
    <n v="699"/>
    <n v="39"/>
    <n v="39"/>
    <n v="0.95"/>
    <n v="27261"/>
    <x v="44"/>
    <x v="2"/>
    <n v="25897.949999999997"/>
  </r>
  <r>
    <x v="53"/>
    <x v="41"/>
    <s v="2026-03-23"/>
    <s v="KH012"/>
    <x v="2"/>
    <s v="长沙麓山科技"/>
    <s v="KH012"/>
    <s v="KH012"/>
    <x v="38"/>
    <s v="0051"/>
    <s v="B"/>
    <x v="5"/>
    <s v="华中"/>
    <x v="2"/>
    <s v="CP003"/>
    <s v="碎纸机 SafeCut S8"/>
    <n v="899"/>
    <n v="1"/>
    <n v="1"/>
    <n v="1"/>
    <n v="899"/>
    <x v="2"/>
    <x v="3"/>
    <n v="899"/>
  </r>
  <r>
    <x v="54"/>
    <x v="42"/>
    <s v="2026-03-29"/>
    <s v="KH016"/>
    <x v="10"/>
    <s v="昆明滇池科技"/>
    <s v="KH016"/>
    <s v="KH016"/>
    <x v="39"/>
    <s v="0052"/>
    <s v="C"/>
    <x v="7"/>
    <s v="西南"/>
    <x v="4"/>
    <s v="CP009"/>
    <s v="激光硒鼓 TonerMax 12A"/>
    <n v="385"/>
    <n v="111"/>
    <n v="111"/>
    <n v="0.85"/>
    <n v="42735"/>
    <x v="45"/>
    <x v="1"/>
    <n v="36324.75"/>
  </r>
  <r>
    <x v="55"/>
    <x v="43"/>
    <s v="2026-03-31"/>
    <s v="KH002"/>
    <x v="1"/>
    <s v="上海锦程贸易"/>
    <s v="KH002"/>
    <s v="KH002"/>
    <x v="40"/>
    <s v="0053"/>
    <s v="B"/>
    <x v="2"/>
    <s v=" 华东"/>
    <x v="1"/>
    <s v="CP006"/>
    <s v="显示器 ViewMax 27"/>
    <n v="1299"/>
    <m/>
    <n v="12"/>
    <n v="0.95"/>
    <n v="15588"/>
    <x v="33"/>
    <x v="2"/>
    <n v="14808.599999999999"/>
  </r>
  <r>
    <x v="56"/>
    <x v="44"/>
    <s v="2026-04-02"/>
    <s v="KH015"/>
    <x v="17"/>
    <s v="佛山美的家电商贸"/>
    <s v="KH015"/>
    <s v="KH015"/>
    <x v="41"/>
    <s v="0054"/>
    <s v="A"/>
    <x v="6"/>
    <s v="华南"/>
    <x v="0"/>
    <s v="CP012"/>
    <s v="云存储服务（1TB/年）"/>
    <n v="599"/>
    <n v="3"/>
    <n v="3"/>
    <n v="1"/>
    <n v="1797"/>
    <x v="9"/>
    <x v="3"/>
    <n v="1797"/>
  </r>
  <r>
    <x v="57"/>
    <x v="45"/>
    <s v="2026-04-03"/>
    <s v="KH014"/>
    <x v="14"/>
    <s v="宁波海港实业"/>
    <s v="KH014"/>
    <s v="KH014"/>
    <x v="42"/>
    <s v="0055"/>
    <s v="B"/>
    <x v="4"/>
    <s v="华东"/>
    <x v="1"/>
    <s v="CP006"/>
    <s v="显示器 ViewMax 27"/>
    <n v="1299"/>
    <n v="1"/>
    <n v="1"/>
    <n v="1"/>
    <n v="1299"/>
    <x v="46"/>
    <x v="2"/>
    <n v="1299"/>
  </r>
  <r>
    <x v="58"/>
    <x v="46"/>
    <s v="2026-04-04"/>
    <s v="KH019"/>
    <x v="3"/>
    <s v="北京中关新材"/>
    <s v="KH019"/>
    <s v="KH019"/>
    <x v="43"/>
    <s v="0056"/>
    <s v="B"/>
    <x v="3"/>
    <s v="华北"/>
    <x v="3"/>
    <s v="CP008"/>
    <s v="A4复印纸（5包/箱）"/>
    <n v="128"/>
    <m/>
    <n v="92"/>
    <n v="0.9"/>
    <n v="11776"/>
    <x v="47"/>
    <x v="0"/>
    <n v="10598.4"/>
  </r>
  <r>
    <x v="59"/>
    <x v="47"/>
    <s v="2026-04-05"/>
    <s v="KH002"/>
    <x v="1"/>
    <s v="上海锦程贸易"/>
    <s v="KH002"/>
    <s v="KH002"/>
    <x v="44"/>
    <s v="0057"/>
    <s v="B"/>
    <x v="5"/>
    <s v="华东"/>
    <x v="1"/>
    <s v="CP003"/>
    <s v="碎纸机 SafeCut S8 "/>
    <n v="899"/>
    <n v="7"/>
    <n v="7"/>
    <n v="1"/>
    <n v="6293"/>
    <x v="48"/>
    <x v="2"/>
    <n v="6293"/>
  </r>
  <r>
    <x v="60"/>
    <x v="47"/>
    <s v="2026-04-05"/>
    <s v="KH005"/>
    <x v="6"/>
    <s v="杭州云图信息"/>
    <s v="KH005"/>
    <s v="KH005"/>
    <x v="44"/>
    <s v="0058"/>
    <s v="A"/>
    <x v="6"/>
    <s v="华东"/>
    <x v="1"/>
    <s v="CP010"/>
    <s v="签字笔盒装（12支）"/>
    <n v="45"/>
    <n v="94"/>
    <n v="94"/>
    <n v="0.9"/>
    <n v="4230"/>
    <x v="49"/>
    <x v="2"/>
    <n v="3807"/>
  </r>
  <r>
    <x v="61"/>
    <x v="48"/>
    <s v="2026-04-07"/>
    <s v="KH005"/>
    <x v="6"/>
    <s v="杭州云图信息"/>
    <s v="KH005"/>
    <s v="KH005"/>
    <x v="45"/>
    <s v="0059"/>
    <s v="A"/>
    <x v="3"/>
    <s v="华东"/>
    <x v="1"/>
    <s v="CP008"/>
    <s v="A4复印纸（5包/箱）"/>
    <n v="128"/>
    <n v="55"/>
    <n v="55"/>
    <n v="0.9"/>
    <s v="¥7,040.00"/>
    <x v="50"/>
    <x v="0"/>
    <n v="6336"/>
  </r>
  <r>
    <x v="62"/>
    <x v="49"/>
    <s v="2026-04-12"/>
    <s v="KH003"/>
    <x v="0"/>
    <s v="广州启航教育"/>
    <s v="KH003"/>
    <s v="KH003"/>
    <x v="46"/>
    <s v="0060"/>
    <s v="A"/>
    <x v="0"/>
    <s v="华南"/>
    <x v="0"/>
    <s v="CP010"/>
    <s v="签字笔盒装（12支）"/>
    <n v="45"/>
    <n v="11"/>
    <n v="11"/>
    <n v="0.95"/>
    <n v="495"/>
    <x v="51"/>
    <x v="0"/>
    <n v="470.25"/>
  </r>
  <r>
    <x v="63"/>
    <x v="49"/>
    <s v="2026-04-12"/>
    <s v="KH006"/>
    <x v="8"/>
    <s v="成都天府商贸"/>
    <s v="KH006"/>
    <s v="KH006"/>
    <x v="46"/>
    <s v="0061"/>
    <s v="C"/>
    <x v="3"/>
    <s v="西南"/>
    <x v="4"/>
    <s v="CP010"/>
    <s v="签字笔盒装（12支）"/>
    <n v="45"/>
    <n v="109"/>
    <n v="109"/>
    <n v="0.85"/>
    <n v="4905"/>
    <x v="52"/>
    <x v="1"/>
    <n v="4169.25"/>
  </r>
  <r>
    <x v="64"/>
    <x v="50"/>
    <s v="2026-04-13"/>
    <s v="KH001"/>
    <x v="9"/>
    <s v="北京华信科技"/>
    <s v="KH001"/>
    <s v="KH001"/>
    <x v="47"/>
    <s v="0062"/>
    <s v="A"/>
    <x v="3"/>
    <s v="华北"/>
    <x v="3"/>
    <s v="CP006"/>
    <s v="显示器 ViewMax 27"/>
    <n v="1299"/>
    <n v="3"/>
    <n v="3"/>
    <n v="1"/>
    <n v="3897"/>
    <x v="53"/>
    <x v="2"/>
    <n v="3897"/>
  </r>
  <r>
    <x v="65"/>
    <x v="50"/>
    <s v="2026-04-13"/>
    <s v="KH002"/>
    <x v="1"/>
    <s v="上海锦程贸易"/>
    <s v="KH002"/>
    <s v="KH002"/>
    <x v="47"/>
    <s v="0063"/>
    <s v="B"/>
    <x v="7"/>
    <s v="华东"/>
    <x v="1"/>
    <s v="CP009"/>
    <s v="激光硒鼓 TonerMax 12A"/>
    <n v="385"/>
    <n v="100"/>
    <n v="100"/>
    <n v="0.85"/>
    <n v="38500"/>
    <x v="54"/>
    <x v="3"/>
    <n v="32725"/>
  </r>
  <r>
    <x v="66"/>
    <x v="50"/>
    <s v="2026-04-13"/>
    <s v="KH001"/>
    <x v="9"/>
    <s v="北京华信科技"/>
    <s v="KH001"/>
    <s v="KH001"/>
    <x v="47"/>
    <s v="0064"/>
    <s v="A"/>
    <x v="3"/>
    <s v=" 华北"/>
    <x v="3"/>
    <s v="CP006"/>
    <s v="显示器 ViewMax 27"/>
    <n v="1299"/>
    <n v="9"/>
    <n v="9"/>
    <n v="1"/>
    <n v="11691"/>
    <x v="55"/>
    <x v="1"/>
    <n v="11691"/>
  </r>
  <r>
    <x v="67"/>
    <x v="51"/>
    <s v="2026-04-18"/>
    <s v="KH004"/>
    <x v="18"/>
    <s v="深圳蓝鲸网络"/>
    <s v="KH004"/>
    <s v="KH004"/>
    <x v="48"/>
    <s v="0065"/>
    <s v="B"/>
    <x v="0"/>
    <s v="华南"/>
    <x v="0"/>
    <s v="CP002"/>
    <s v="多功能一体机 PrintMaster 300"/>
    <n v="3599"/>
    <s v="6"/>
    <n v="6"/>
    <n v="1"/>
    <n v="21594"/>
    <x v="56"/>
    <x v="2"/>
    <n v="21594"/>
  </r>
  <r>
    <x v="68"/>
    <x v="51"/>
    <s v="2026-04-18"/>
    <s v="KH016"/>
    <x v="10"/>
    <s v="昆明滇池科技"/>
    <s v="KH016"/>
    <s v="KH016"/>
    <x v="48"/>
    <s v="0066"/>
    <s v="C"/>
    <x v="2"/>
    <s v="西南"/>
    <x v="4"/>
    <s v="CP002"/>
    <s v="多功能一体机 PrintMaster 300"/>
    <n v="3599"/>
    <m/>
    <n v="5"/>
    <n v="1"/>
    <n v="17995"/>
    <x v="57"/>
    <x v="1"/>
    <n v="17995"/>
  </r>
  <r>
    <x v="69"/>
    <x v="52"/>
    <s v="2026-04-19"/>
    <s v="KH006"/>
    <x v="8"/>
    <s v="成都天府商贸"/>
    <s v="KH006"/>
    <s v="KH006"/>
    <x v="49"/>
    <s v="0067"/>
    <s v="C"/>
    <x v="6"/>
    <s v="西南"/>
    <x v="4"/>
    <s v="CP011"/>
    <s v="办公软件年费授权"/>
    <n v="699"/>
    <s v="9"/>
    <n v="9"/>
    <n v="1"/>
    <n v="6291"/>
    <x v="58"/>
    <x v="3"/>
    <n v="6291"/>
  </r>
  <r>
    <x v="70"/>
    <x v="52"/>
    <s v="2026-04-19"/>
    <s v="KH014"/>
    <x v="14"/>
    <s v="宁波海港实业"/>
    <s v="KH014"/>
    <s v="KH014"/>
    <x v="49"/>
    <s v="0068"/>
    <s v="B"/>
    <x v="5"/>
    <s v="华东"/>
    <x v="1"/>
    <s v="CP007"/>
    <s v="无线键鼠套装 KeyFree 2.0"/>
    <n v="299"/>
    <n v="10"/>
    <n v="10"/>
    <n v="0.95"/>
    <n v="2990"/>
    <x v="59"/>
    <x v="2"/>
    <n v="2840.5"/>
  </r>
  <r>
    <x v="71"/>
    <x v="52"/>
    <s v="2026-04-19"/>
    <s v="KH015"/>
    <x v="17"/>
    <s v="佛山美的家电商贸"/>
    <s v="KH015"/>
    <s v="KH015"/>
    <x v="49"/>
    <s v="0069"/>
    <s v="A"/>
    <x v="2"/>
    <s v="华南"/>
    <x v="0"/>
    <s v="CP002"/>
    <s v="多功能一体机 PrintMaster 300"/>
    <n v="3599"/>
    <n v="8"/>
    <n v="8"/>
    <n v="1"/>
    <n v="28792"/>
    <x v="60"/>
    <x v="2"/>
    <n v="28792"/>
  </r>
  <r>
    <x v="72"/>
    <x v="53"/>
    <s v="2026-04-20"/>
    <s v="KH013"/>
    <x v="16"/>
    <s v="石家庄振华商贸"/>
    <s v="KH013"/>
    <s v="KH013"/>
    <x v="50"/>
    <s v="0070"/>
    <s v="C"/>
    <x v="5"/>
    <s v="华北"/>
    <x v="3"/>
    <s v="CP003"/>
    <s v="碎纸机 SafeCut S8"/>
    <n v="899"/>
    <n v="7"/>
    <n v="7"/>
    <n v="1"/>
    <n v="6293"/>
    <x v="48"/>
    <x v="2"/>
    <n v="6293"/>
  </r>
  <r>
    <x v="73"/>
    <x v="54"/>
    <s v="2026-04-21"/>
    <s v="KH018"/>
    <x v="19"/>
    <s v="厦门鹭岛文创"/>
    <s v="KH018"/>
    <s v="KH018"/>
    <x v="51"/>
    <s v="0071"/>
    <s v="C"/>
    <x v="4"/>
    <s v="华南"/>
    <x v="0"/>
    <s v="CP009"/>
    <s v="激光硒鼓 TonerMax 12A"/>
    <n v="385"/>
    <n v="73"/>
    <n v="73"/>
    <n v="0.9"/>
    <n v="28105"/>
    <x v="61"/>
    <x v="2"/>
    <n v="25294.5"/>
  </r>
  <r>
    <x v="74"/>
    <x v="55"/>
    <s v="2026-04-22"/>
    <s v="KH003"/>
    <x v="0"/>
    <s v="厦门鹭岛文创"/>
    <s v="KH018"/>
    <s v="KH003"/>
    <x v="52"/>
    <s v="0072"/>
    <s v="A"/>
    <x v="5"/>
    <s v="华南"/>
    <x v="0"/>
    <s v="CP007"/>
    <s v="无线键鼠套装 KeyFree 2.0"/>
    <n v="299"/>
    <n v="12"/>
    <n v="12"/>
    <n v="0.95"/>
    <n v="3588"/>
    <x v="62"/>
    <x v="1"/>
    <n v="3408.6"/>
  </r>
  <r>
    <x v="75"/>
    <x v="56"/>
    <s v="2026-04-23"/>
    <s v="KH006"/>
    <x v="8"/>
    <s v="成都天府商贸"/>
    <s v="KH006"/>
    <s v="KH006"/>
    <x v="53"/>
    <s v="0073"/>
    <s v="C"/>
    <x v="4"/>
    <s v="西南"/>
    <x v="4"/>
    <s v="CP011"/>
    <s v="办公软件年费授权"/>
    <n v="699"/>
    <n v="39"/>
    <n v="39"/>
    <n v="0.95"/>
    <n v="27261"/>
    <x v="44"/>
    <x v="2"/>
    <n v="25897.949999999997"/>
  </r>
  <r>
    <x v="76"/>
    <x v="56"/>
    <s v="2026-04-23"/>
    <s v="KH008"/>
    <x v="15"/>
    <s v="南京紫金山软件园运营"/>
    <s v="KH008"/>
    <s v="KH008"/>
    <x v="53"/>
    <s v="0074"/>
    <s v="C"/>
    <x v="3"/>
    <s v="华东"/>
    <x v="1"/>
    <s v="CP008"/>
    <s v="A4复印纸（5包/箱）"/>
    <n v="128"/>
    <n v="104"/>
    <n v="104"/>
    <n v="0.85"/>
    <n v="13312"/>
    <x v="63"/>
    <x v="2"/>
    <n v="11315.199999999999"/>
  </r>
  <r>
    <x v="77"/>
    <x v="57"/>
    <s v="2026-04-26"/>
    <s v="KH005"/>
    <x v="6"/>
    <s v="杭州云图信息"/>
    <s v="KH005"/>
    <s v="KH005"/>
    <x v="54"/>
    <s v="0075"/>
    <s v="A"/>
    <x v="0"/>
    <s v="华东"/>
    <x v="1"/>
    <s v="CP003"/>
    <s v="碎纸机 SafeCut S8"/>
    <n v="899"/>
    <n v="5"/>
    <n v="5"/>
    <n v="1"/>
    <s v="¥4,495.00"/>
    <x v="64"/>
    <x v="2"/>
    <n v="4495"/>
  </r>
  <r>
    <x v="78"/>
    <x v="57"/>
    <s v="2026-04-26"/>
    <s v="KH010"/>
    <x v="12"/>
    <s v="苏州创智科技"/>
    <s v="KH010"/>
    <s v="KH010"/>
    <x v="54"/>
    <s v="0076"/>
    <s v="A"/>
    <x v="3"/>
    <s v="华东"/>
    <x v="1"/>
    <s v="CP005"/>
    <s v="台式电脑 PowerDesk 500"/>
    <n v="4299"/>
    <s v="6"/>
    <n v="6"/>
    <n v="1"/>
    <n v="25794"/>
    <x v="65"/>
    <x v="2"/>
    <n v="25794"/>
  </r>
  <r>
    <x v="79"/>
    <x v="58"/>
    <s v="2026-04-27"/>
    <s v="KH002"/>
    <x v="1"/>
    <s v="上海锦程贸易"/>
    <s v="KH002"/>
    <s v="KH002"/>
    <x v="55"/>
    <s v="0077"/>
    <s v="B"/>
    <x v="4"/>
    <s v="华东"/>
    <x v="1"/>
    <s v="CP005"/>
    <s v="台式电脑 PowerDesk 500"/>
    <n v="4299"/>
    <m/>
    <n v="8"/>
    <n v="1"/>
    <n v="34392"/>
    <x v="66"/>
    <x v="2"/>
    <n v="34392"/>
  </r>
  <r>
    <x v="80"/>
    <x v="59"/>
    <s v="2026-04-28"/>
    <s v="KH010"/>
    <x v="12"/>
    <s v="苏州创智科技"/>
    <s v="KH010"/>
    <s v="KH010"/>
    <x v="56"/>
    <s v="0078"/>
    <s v="A"/>
    <x v="5"/>
    <s v="华东"/>
    <x v="1"/>
    <s v="CP006"/>
    <s v="显示器 ViewMax 27"/>
    <n v="1299"/>
    <n v="7"/>
    <n v="7"/>
    <n v="1"/>
    <n v="9093"/>
    <x v="36"/>
    <x v="2"/>
    <n v="9093"/>
  </r>
  <r>
    <x v="81"/>
    <x v="59"/>
    <s v="2026-04-28"/>
    <s v="KH015"/>
    <x v="17"/>
    <s v="佛山美的家电商贸"/>
    <s v="KH015"/>
    <s v="KH015"/>
    <x v="56"/>
    <s v="0079"/>
    <s v="A"/>
    <x v="6"/>
    <s v="华南区"/>
    <x v="0"/>
    <s v="CP008"/>
    <s v="A4复印纸（5包/箱）"/>
    <n v="128"/>
    <n v="96"/>
    <n v="96"/>
    <n v="0.9"/>
    <n v="12288"/>
    <x v="67"/>
    <x v="2"/>
    <n v="11059.2"/>
  </r>
  <r>
    <x v="82"/>
    <x v="59"/>
    <s v="2026-04-28"/>
    <s v="KH012"/>
    <x v="2"/>
    <s v="长沙麓山科技"/>
    <s v="KH012"/>
    <s v="KH012"/>
    <x v="56"/>
    <s v="0080"/>
    <s v="B"/>
    <x v="3"/>
    <s v="华中"/>
    <x v="2"/>
    <s v="CP002"/>
    <s v="多功能一体机 PrintMaster 300"/>
    <n v="3599"/>
    <n v="7"/>
    <n v="7"/>
    <n v="1"/>
    <n v="25193"/>
    <x v="68"/>
    <x v="2"/>
    <n v="25193"/>
  </r>
  <r>
    <x v="83"/>
    <x v="60"/>
    <s v="2026-04-29"/>
    <s v="KH011"/>
    <x v="7"/>
    <s v="重庆山城办公设备"/>
    <s v="KH011"/>
    <s v="KH011"/>
    <x v="57"/>
    <s v="0081"/>
    <s v="B"/>
    <x v="4"/>
    <s v="西南"/>
    <x v="4"/>
    <s v="CP005"/>
    <s v="台式电脑 PowerDesk 500"/>
    <n v="4299"/>
    <n v="6"/>
    <n v="6"/>
    <n v="1"/>
    <n v="25794"/>
    <x v="65"/>
    <x v="3"/>
    <n v="25794"/>
  </r>
  <r>
    <x v="84"/>
    <x v="61"/>
    <s v="2026-04-30"/>
    <s v="KH015"/>
    <x v="17"/>
    <s v="佛山美的家电商贸"/>
    <s v="KH015"/>
    <s v="KH015"/>
    <x v="58"/>
    <s v="0082"/>
    <s v="A"/>
    <x v="5"/>
    <s v="华南"/>
    <x v="0"/>
    <s v="CP011"/>
    <s v="办公软件年费授权"/>
    <n v="699"/>
    <n v="32"/>
    <n v="32"/>
    <n v="0.95"/>
    <n v="22368"/>
    <x v="69"/>
    <x v="2"/>
    <n v="21249.599999999999"/>
  </r>
  <r>
    <x v="85"/>
    <x v="62"/>
    <s v="2026-05-01"/>
    <s v="KH015"/>
    <x v="17"/>
    <s v="佛山美的家电商贸"/>
    <s v="KH015"/>
    <s v="KH015"/>
    <x v="59"/>
    <s v="0083"/>
    <s v="A"/>
    <x v="2"/>
    <s v="华南"/>
    <x v="0"/>
    <s v="CP009"/>
    <s v="激光硒鼓 TonerMax 12A"/>
    <n v="385"/>
    <n v="94"/>
    <n v="94"/>
    <n v="0.9"/>
    <n v="36190"/>
    <x v="70"/>
    <x v="2"/>
    <n v="32571"/>
  </r>
  <r>
    <x v="86"/>
    <x v="63"/>
    <s v="2026-05-01"/>
    <s v="KH015"/>
    <x v="17"/>
    <s v="佛山美的家电商贸"/>
    <s v="KH015"/>
    <s v="KH015"/>
    <x v="59"/>
    <s v="0084"/>
    <s v="A"/>
    <x v="2"/>
    <s v="华南"/>
    <x v="0"/>
    <s v="CP010"/>
    <s v="签字笔盒装（12支）"/>
    <n v="45"/>
    <n v="75"/>
    <n v="75"/>
    <n v="0.9"/>
    <n v="3375"/>
    <x v="71"/>
    <x v="1"/>
    <n v="3037.5"/>
  </r>
  <r>
    <x v="87"/>
    <x v="64"/>
    <s v="2026-05-03"/>
    <s v="KH007"/>
    <x v="5"/>
    <s v="武汉长江实业"/>
    <s v="KH007"/>
    <s v="KH007"/>
    <x v="60"/>
    <s v="0085"/>
    <s v="B"/>
    <x v="7"/>
    <s v="华中"/>
    <x v="2"/>
    <s v="CP008"/>
    <s v="A4复印纸（5包/箱）"/>
    <n v="128"/>
    <s v="34"/>
    <n v="34"/>
    <n v="0.95"/>
    <n v="4352"/>
    <x v="72"/>
    <x v="0"/>
    <n v="4134.3999999999996"/>
  </r>
  <r>
    <x v="88"/>
    <x v="64"/>
    <s v="2026-05-03"/>
    <s v="KH003"/>
    <x v="0"/>
    <s v="广州启航教育"/>
    <s v="KH003"/>
    <s v="KH003"/>
    <x v="60"/>
    <s v="0086"/>
    <s v="A"/>
    <x v="6"/>
    <s v="华南"/>
    <x v="0"/>
    <s v="CP012"/>
    <s v="云存储服务（1TB/年）"/>
    <n v="599"/>
    <n v="31"/>
    <n v="31"/>
    <n v="0.95"/>
    <n v="18569"/>
    <x v="73"/>
    <x v="1"/>
    <n v="17640.55"/>
  </r>
  <r>
    <x v="89"/>
    <x v="65"/>
    <s v="2026-05-03"/>
    <s v="KH003"/>
    <x v="0"/>
    <s v="广州启航教育"/>
    <s v="KH003"/>
    <s v="KH003"/>
    <x v="60"/>
    <s v="0087"/>
    <s v="A"/>
    <x v="4"/>
    <s v="华南"/>
    <x v="0"/>
    <s v="CP006"/>
    <s v="显示器 ViewMax 27"/>
    <n v="1299"/>
    <n v="10"/>
    <n v="10"/>
    <n v="0.95"/>
    <n v="12990"/>
    <x v="74"/>
    <x v="1"/>
    <n v="12340.5"/>
  </r>
  <r>
    <x v="90"/>
    <x v="66"/>
    <s v="2026-05-04"/>
    <s v="KH013"/>
    <x v="16"/>
    <s v="石家庄振华商贸"/>
    <s v="KH013"/>
    <s v="KH013"/>
    <x v="61"/>
    <s v="0088"/>
    <s v="C"/>
    <x v="7"/>
    <s v="华北"/>
    <x v="3"/>
    <s v="CP008"/>
    <s v="A4复印纸（5包/箱）"/>
    <n v="128"/>
    <n v="23"/>
    <n v="23"/>
    <n v="0.95"/>
    <n v="2944"/>
    <x v="75"/>
    <x v="2"/>
    <n v="2796.7999999999997"/>
  </r>
  <r>
    <x v="91"/>
    <x v="67"/>
    <s v="2026-05-05"/>
    <s v="KH008"/>
    <x v="15"/>
    <s v="南京紫金山软件园运营"/>
    <s v="KH008"/>
    <s v="KH008"/>
    <x v="62"/>
    <s v="0089"/>
    <s v="C"/>
    <x v="6"/>
    <s v="华东"/>
    <x v="1"/>
    <s v="CP004"/>
    <s v="笔记本电脑 TechBook 14"/>
    <n v="5699"/>
    <n v="12"/>
    <n v="12"/>
    <n v="0.95"/>
    <n v="68388"/>
    <x v="76"/>
    <x v="0"/>
    <n v="64968.6"/>
  </r>
  <r>
    <x v="92"/>
    <x v="68"/>
    <s v="2026-05-06"/>
    <s v="KH018"/>
    <x v="19"/>
    <s v="厦门鹭岛文创"/>
    <s v="KH018"/>
    <s v="KH018"/>
    <x v="63"/>
    <s v="0090"/>
    <s v="C"/>
    <x v="5"/>
    <s v="华南"/>
    <x v="0"/>
    <s v="CP009"/>
    <s v="激光硒鼓 TonerMax 12A"/>
    <n v="385"/>
    <s v="53"/>
    <n v="53"/>
    <n v="0.9"/>
    <n v="20405"/>
    <x v="77"/>
    <x v="2"/>
    <n v="18364.5"/>
  </r>
  <r>
    <x v="93"/>
    <x v="68"/>
    <s v="2026-05-06"/>
    <s v="KH012"/>
    <x v="2"/>
    <s v="长沙麓山科技"/>
    <s v="KH012"/>
    <s v="KH012"/>
    <x v="63"/>
    <s v="0091"/>
    <s v="B"/>
    <x v="2"/>
    <s v="华中"/>
    <x v="2"/>
    <s v="CP005"/>
    <s v="台式电脑 PowerDesk 500"/>
    <n v="4299"/>
    <n v="6"/>
    <n v="6"/>
    <n v="1"/>
    <n v="25794"/>
    <x v="65"/>
    <x v="2"/>
    <n v="25794"/>
  </r>
  <r>
    <x v="94"/>
    <x v="69"/>
    <s v="2026-05-06"/>
    <s v="KH010"/>
    <x v="12"/>
    <s v="苏州创智科技"/>
    <s v="KH010"/>
    <s v="KH010"/>
    <x v="63"/>
    <s v="0092"/>
    <s v="A"/>
    <x v="2"/>
    <s v="华东"/>
    <x v="1"/>
    <s v="CP001"/>
    <s v="激光打印机 ProLaser 200"/>
    <n v="2499"/>
    <n v="6"/>
    <n v="6"/>
    <n v="1"/>
    <n v="14994"/>
    <x v="78"/>
    <x v="3"/>
    <n v="14994"/>
  </r>
  <r>
    <x v="95"/>
    <x v="68"/>
    <s v="2026-05-06"/>
    <s v="KH009"/>
    <x v="13"/>
    <s v="天津海河传媒"/>
    <s v="KH009"/>
    <s v="KH009"/>
    <x v="63"/>
    <s v="0093"/>
    <s v="C"/>
    <x v="4"/>
    <s v="华北"/>
    <x v="3"/>
    <s v="CP006"/>
    <s v="显示器 ViewMax 27"/>
    <n v="1299"/>
    <s v="9"/>
    <n v="9"/>
    <n v="1"/>
    <n v="11691"/>
    <x v="55"/>
    <x v="2"/>
    <n v="11691"/>
  </r>
  <r>
    <x v="96"/>
    <x v="70"/>
    <s v="2026-05-08"/>
    <s v="KH011"/>
    <x v="7"/>
    <s v="重庆山城办公设备"/>
    <s v="KH011"/>
    <s v="KH011"/>
    <x v="64"/>
    <s v="0094"/>
    <s v="B"/>
    <x v="2"/>
    <s v="西南区"/>
    <x v="4"/>
    <s v="CP011"/>
    <s v="办公软件年费授权"/>
    <n v="699"/>
    <n v="6"/>
    <n v="6"/>
    <n v="1"/>
    <s v="¥4,194.00"/>
    <x v="79"/>
    <x v="0"/>
    <n v="4194"/>
  </r>
  <r>
    <x v="97"/>
    <x v="70"/>
    <s v="2026-05-08"/>
    <s v="KH012"/>
    <x v="2"/>
    <s v="武汉长江实业"/>
    <s v="KH007"/>
    <s v="KH012"/>
    <x v="64"/>
    <s v="0095"/>
    <s v="B"/>
    <x v="5"/>
    <s v="华中"/>
    <x v="2"/>
    <s v="CP011"/>
    <s v="办公软件年费授权"/>
    <n v="699"/>
    <n v="35"/>
    <n v="35"/>
    <n v="0.95"/>
    <n v="24465"/>
    <x v="80"/>
    <x v="2"/>
    <n v="23241.75"/>
  </r>
  <r>
    <x v="98"/>
    <x v="71"/>
    <s v="2026-05-08"/>
    <s v="KH013"/>
    <x v="16"/>
    <s v="石家庄振华商贸"/>
    <s v="KH013"/>
    <s v="KH013"/>
    <x v="64"/>
    <s v="0096"/>
    <s v="C"/>
    <x v="3"/>
    <s v="华北"/>
    <x v="3"/>
    <s v="CP006"/>
    <s v="显示器 ViewMax 27"/>
    <n v="1299"/>
    <n v="2"/>
    <n v="2"/>
    <n v="1"/>
    <n v="2598"/>
    <x v="10"/>
    <x v="1"/>
    <n v="2598"/>
  </r>
  <r>
    <x v="99"/>
    <x v="72"/>
    <s v="2026-05-09"/>
    <s v="KH019"/>
    <x v="3"/>
    <s v="北京中关新材"/>
    <s v="KH019"/>
    <s v="KH019"/>
    <x v="65"/>
    <s v="0097"/>
    <s v="B"/>
    <x v="4"/>
    <s v="华北区"/>
    <x v="3"/>
    <s v="CP012"/>
    <s v="云存储服务（1TB/年）"/>
    <n v="599"/>
    <n v="35"/>
    <n v="35"/>
    <n v="0.95"/>
    <n v="20965"/>
    <x v="81"/>
    <x v="1"/>
    <n v="19916.75"/>
  </r>
  <r>
    <x v="100"/>
    <x v="73"/>
    <s v="2026-05-09"/>
    <s v="KH019"/>
    <x v="3"/>
    <s v="北京中关新材"/>
    <s v="KH019"/>
    <s v="KH019"/>
    <x v="65"/>
    <s v="0098"/>
    <s v="B"/>
    <x v="0"/>
    <s v="华北 "/>
    <x v="3"/>
    <s v="CP012"/>
    <s v="云存储服务（1TB/年）"/>
    <n v="599"/>
    <n v="3"/>
    <n v="3"/>
    <n v="1"/>
    <n v="1797"/>
    <x v="9"/>
    <x v="2"/>
    <n v="1797"/>
  </r>
  <r>
    <x v="101"/>
    <x v="74"/>
    <s v="2026-05-10"/>
    <s v="KH008"/>
    <x v="15"/>
    <s v="南京紫金山软件园运营"/>
    <s v="KH008"/>
    <s v="KH008"/>
    <x v="66"/>
    <s v="0099"/>
    <s v="C"/>
    <x v="6"/>
    <s v="华东"/>
    <x v="1"/>
    <s v="CP011"/>
    <s v="办公软件年费授权"/>
    <n v="699"/>
    <s v="10"/>
    <n v="10"/>
    <n v="0.95"/>
    <n v="6990"/>
    <x v="82"/>
    <x v="3"/>
    <n v="6640.5"/>
  </r>
  <r>
    <x v="102"/>
    <x v="75"/>
    <s v="2026-05-11"/>
    <s v="KH005"/>
    <x v="6"/>
    <s v="杭州云图信息"/>
    <s v="KH005"/>
    <s v="KH005"/>
    <x v="67"/>
    <s v="0100"/>
    <s v="A"/>
    <x v="3"/>
    <s v="华东"/>
    <x v="1"/>
    <s v="CP011"/>
    <s v="办公软件年费授权 "/>
    <n v="699"/>
    <n v="33"/>
    <n v="33"/>
    <n v="0.95"/>
    <n v="23067"/>
    <x v="83"/>
    <x v="2"/>
    <n v="21913.649999999998"/>
  </r>
  <r>
    <x v="103"/>
    <x v="26"/>
    <s v="2026-05-12"/>
    <s v="KH016"/>
    <x v="10"/>
    <s v="昆明滇池科技"/>
    <s v="KH016"/>
    <s v="KH016"/>
    <x v="24"/>
    <s v="0101"/>
    <s v="C"/>
    <x v="4"/>
    <s v="西南"/>
    <x v="4"/>
    <s v="CP006"/>
    <s v="显示器 ViewMax 27"/>
    <n v="1299"/>
    <n v="11"/>
    <n v="11"/>
    <n v="0.95"/>
    <n v="14289"/>
    <x v="35"/>
    <x v="2"/>
    <n v="13574.55"/>
  </r>
  <r>
    <x v="31"/>
    <x v="26"/>
    <s v="2026-05-12"/>
    <s v="KH014"/>
    <x v="14"/>
    <s v="宁波海港实业"/>
    <s v="KH014"/>
    <s v="KH014"/>
    <x v="24"/>
    <s v="0102"/>
    <s v="B"/>
    <x v="3"/>
    <s v="华东"/>
    <x v="1"/>
    <s v="CP004"/>
    <s v="笔记本电脑 TechBook 14"/>
    <n v="5699"/>
    <n v="10"/>
    <n v="10"/>
    <n v="0.95"/>
    <n v="56990"/>
    <x v="84"/>
    <x v="1"/>
    <n v="54140.5"/>
  </r>
  <r>
    <x v="104"/>
    <x v="26"/>
    <s v="2026-05-12"/>
    <s v="KH003"/>
    <x v="0"/>
    <s v="广州启航教育"/>
    <s v="KH003"/>
    <s v="KH003"/>
    <x v="24"/>
    <s v="0103"/>
    <s v="A"/>
    <x v="7"/>
    <s v="华南"/>
    <x v="0"/>
    <s v="CP011"/>
    <s v="办公软件年费授权"/>
    <n v="699"/>
    <n v="38"/>
    <n v="38"/>
    <n v="0.95"/>
    <n v="26562"/>
    <x v="85"/>
    <x v="3"/>
    <n v="25233.899999999998"/>
  </r>
  <r>
    <x v="105"/>
    <x v="76"/>
    <s v="2026-05-12"/>
    <s v="KH017"/>
    <x v="4"/>
    <s v="郑州中原物流"/>
    <s v="KH017"/>
    <s v="KH017"/>
    <x v="24"/>
    <s v="0104"/>
    <s v="B"/>
    <x v="3"/>
    <s v="华中区"/>
    <x v="2"/>
    <s v="CP005"/>
    <s v="台式电脑 PowerDesk 500"/>
    <n v="4299"/>
    <n v="5"/>
    <n v="5"/>
    <n v="1"/>
    <n v="21495"/>
    <x v="86"/>
    <x v="2"/>
    <n v="21495"/>
  </r>
  <r>
    <x v="106"/>
    <x v="77"/>
    <s v="2026-06-03"/>
    <s v="KH009"/>
    <x v="13"/>
    <s v="天津海河传媒"/>
    <s v="KH009"/>
    <s v="KH009"/>
    <x v="68"/>
    <s v="0126"/>
    <s v="C"/>
    <x v="0"/>
    <s v="华北"/>
    <x v="3"/>
    <s v="CP002"/>
    <s v="多功能一体机 PrintMaster 300"/>
    <n v="3599"/>
    <n v="11"/>
    <n v="11"/>
    <n v="0.95"/>
    <n v="39589"/>
    <x v="87"/>
    <x v="2"/>
    <n v="37609.549999999996"/>
  </r>
  <r>
    <x v="107"/>
    <x v="78"/>
    <s v="2026-05-13"/>
    <s v="KH019"/>
    <x v="3"/>
    <s v="北京中关新材"/>
    <s v="KH019"/>
    <s v="KH019"/>
    <x v="69"/>
    <s v="0105"/>
    <s v="B"/>
    <x v="0"/>
    <s v="华北"/>
    <x v="3"/>
    <s v="CP009"/>
    <s v="激光硒鼓 TonerMax 12A"/>
    <n v="385"/>
    <n v="26"/>
    <n v="26"/>
    <n v="0.95"/>
    <n v="10010"/>
    <x v="22"/>
    <x v="2"/>
    <n v="9509.5"/>
  </r>
  <r>
    <x v="108"/>
    <x v="79"/>
    <s v="2026-05-14"/>
    <s v="KH014"/>
    <x v="14"/>
    <s v="宁波海港实业"/>
    <s v="KH014"/>
    <s v="KH014"/>
    <x v="70"/>
    <s v="0106"/>
    <s v="B"/>
    <x v="3"/>
    <s v="华东"/>
    <x v="1"/>
    <s v="CP010"/>
    <s v="签字笔盒装（12支）"/>
    <n v="45"/>
    <s v="97"/>
    <n v="97"/>
    <n v="0.9"/>
    <n v="4365"/>
    <x v="88"/>
    <x v="2"/>
    <n v="3928.5"/>
  </r>
  <r>
    <x v="109"/>
    <x v="79"/>
    <s v="2026-05-14"/>
    <s v="KH012"/>
    <x v="2"/>
    <s v="长沙麓山科技"/>
    <s v="KH012"/>
    <s v="KH012"/>
    <x v="70"/>
    <s v="0107"/>
    <s v="B"/>
    <x v="2"/>
    <s v="华中"/>
    <x v="2"/>
    <s v="CP012"/>
    <s v="云存储服务（1TB/年） "/>
    <n v="599"/>
    <n v="3"/>
    <n v="3"/>
    <n v="1"/>
    <n v="1797"/>
    <x v="9"/>
    <x v="2"/>
    <n v="1797"/>
  </r>
  <r>
    <x v="110"/>
    <x v="80"/>
    <s v="2026-05-15"/>
    <s v="KH006"/>
    <x v="8"/>
    <s v="成都天府商贸"/>
    <s v="KH006"/>
    <s v="KH006"/>
    <x v="71"/>
    <s v="0108"/>
    <s v="C"/>
    <x v="4"/>
    <s v="西南"/>
    <x v="4"/>
    <s v="CP008"/>
    <s v="A4复印纸（5包/箱）"/>
    <n v="128"/>
    <n v="69"/>
    <n v="69"/>
    <n v="0.9"/>
    <s v="¥8,832.00"/>
    <x v="89"/>
    <x v="2"/>
    <n v="7948.8"/>
  </r>
  <r>
    <x v="111"/>
    <x v="81"/>
    <s v="2026-05-18"/>
    <s v="KH005"/>
    <x v="6"/>
    <s v="杭州云图信息"/>
    <s v="KH005"/>
    <s v="KH005"/>
    <x v="72"/>
    <s v="0109"/>
    <s v="A"/>
    <x v="0"/>
    <s v="华东区"/>
    <x v="1"/>
    <s v="CP010"/>
    <s v="签字笔盒装（12支）"/>
    <n v="45"/>
    <n v="15"/>
    <n v="15"/>
    <n v="0.95"/>
    <n v="675"/>
    <x v="90"/>
    <x v="2"/>
    <n v="641.25"/>
  </r>
  <r>
    <x v="112"/>
    <x v="82"/>
    <s v="2026-05-20"/>
    <s v="KH002"/>
    <x v="1"/>
    <s v="上海锦程贸易"/>
    <s v="KH002"/>
    <s v="KH002"/>
    <x v="73"/>
    <s v="0110"/>
    <s v="B"/>
    <x v="2"/>
    <s v="华东区"/>
    <x v="1"/>
    <s v="CP008"/>
    <s v="A4复印纸（5包/箱）"/>
    <n v="128"/>
    <n v="100"/>
    <n v="100"/>
    <n v="0.85"/>
    <n v="12800"/>
    <x v="91"/>
    <x v="2"/>
    <n v="10880"/>
  </r>
  <r>
    <x v="113"/>
    <x v="83"/>
    <s v="2026-05-21"/>
    <s v="KH001"/>
    <x v="9"/>
    <s v="北京华信科技"/>
    <s v="KH001"/>
    <s v="KH001"/>
    <x v="74"/>
    <s v="0111"/>
    <s v="A"/>
    <x v="1"/>
    <s v="华北"/>
    <x v="3"/>
    <s v="CP008"/>
    <s v="A4复印纸（5包/箱）"/>
    <n v="128"/>
    <n v="114"/>
    <n v="114"/>
    <n v="0.85"/>
    <n v="14592"/>
    <x v="92"/>
    <x v="2"/>
    <n v="12403.199999999999"/>
  </r>
  <r>
    <x v="114"/>
    <x v="84"/>
    <s v="2026-05-21"/>
    <s v="KH008"/>
    <x v="15"/>
    <s v="南京紫金山软件园运营"/>
    <s v="KH008"/>
    <s v="KH008"/>
    <x v="74"/>
    <s v="0112"/>
    <s v="C"/>
    <x v="6"/>
    <s v="华东"/>
    <x v="1"/>
    <s v="CP011"/>
    <s v="办公软件年费授权"/>
    <n v="699"/>
    <n v="12"/>
    <n v="12"/>
    <n v="0.95"/>
    <n v="8388"/>
    <x v="93"/>
    <x v="2"/>
    <n v="7968.5999999999995"/>
  </r>
  <r>
    <x v="115"/>
    <x v="85"/>
    <s v="2026-05-22"/>
    <s v="KH019"/>
    <x v="3"/>
    <s v="北京中关新材"/>
    <s v="KH019"/>
    <s v="KH019"/>
    <x v="75"/>
    <s v="0113"/>
    <s v="B"/>
    <x v="4"/>
    <s v="华北"/>
    <x v="3"/>
    <s v="CP004"/>
    <s v="笔记本电脑 TechBook 14"/>
    <n v="5699"/>
    <n v="3"/>
    <n v="3"/>
    <n v="1"/>
    <n v="17097"/>
    <x v="16"/>
    <x v="1"/>
    <n v="17097"/>
  </r>
  <r>
    <x v="116"/>
    <x v="86"/>
    <s v="2026-05-23"/>
    <s v="KH009"/>
    <x v="13"/>
    <s v="天津海河传媒"/>
    <s v="KH009"/>
    <s v="KH009"/>
    <x v="76"/>
    <s v="0114"/>
    <s v="C"/>
    <x v="2"/>
    <s v="华北"/>
    <x v="3"/>
    <s v="CP006"/>
    <s v="显示器 ViewMax 27"/>
    <n v="1299"/>
    <n v="4"/>
    <n v="4"/>
    <n v="1"/>
    <n v="5196"/>
    <x v="94"/>
    <x v="1"/>
    <n v="5196"/>
  </r>
  <r>
    <x v="117"/>
    <x v="86"/>
    <s v="2026-05-23"/>
    <s v="KH008"/>
    <x v="15"/>
    <s v="南京紫金山软件园运营"/>
    <s v="KH008"/>
    <s v="KH008"/>
    <x v="76"/>
    <s v="0115"/>
    <s v="C"/>
    <x v="0"/>
    <s v="华东"/>
    <x v="1"/>
    <s v="CP012"/>
    <s v="云存储服务（1TB/年）"/>
    <n v="599"/>
    <n v="40"/>
    <n v="40"/>
    <n v="0.95"/>
    <n v="23960"/>
    <x v="95"/>
    <x v="2"/>
    <n v="22762"/>
  </r>
  <r>
    <x v="118"/>
    <x v="87"/>
    <s v="2026-05-23"/>
    <s v="KH018"/>
    <x v="19"/>
    <s v="厦门鹭岛文创"/>
    <s v="KH018"/>
    <s v="KH018"/>
    <x v="76"/>
    <s v="0116"/>
    <s v="C"/>
    <x v="1"/>
    <s v="华南"/>
    <x v="0"/>
    <s v="CP010"/>
    <s v="签字笔盒装（12支）"/>
    <n v="45"/>
    <n v="24"/>
    <n v="24"/>
    <n v="0.95"/>
    <n v="1080"/>
    <x v="96"/>
    <x v="2"/>
    <n v="1026"/>
  </r>
  <r>
    <x v="119"/>
    <x v="88"/>
    <s v="2026-05-24"/>
    <s v="KH013"/>
    <x v="16"/>
    <s v="石家庄振华商贸"/>
    <s v="KH013"/>
    <s v="KH013"/>
    <x v="77"/>
    <s v="0117"/>
    <s v="C"/>
    <x v="3"/>
    <s v="华北"/>
    <x v="3"/>
    <s v="CP009"/>
    <s v="激光硒鼓 TonerMax 12A"/>
    <n v="385"/>
    <n v="24"/>
    <n v="24"/>
    <n v="0.95"/>
    <s v="¥9,240.00"/>
    <x v="97"/>
    <x v="2"/>
    <n v="8778"/>
  </r>
  <r>
    <x v="120"/>
    <x v="89"/>
    <s v="2026-05-25"/>
    <s v="KH008"/>
    <x v="15"/>
    <s v="南京紫金山软件园运营"/>
    <s v="KH008"/>
    <s v="KH008"/>
    <x v="78"/>
    <s v="0118"/>
    <s v="C"/>
    <x v="7"/>
    <s v="华东"/>
    <x v="1"/>
    <s v="CP011"/>
    <s v="办公软件年费授权"/>
    <n v="699"/>
    <n v="29"/>
    <n v="29"/>
    <n v="0.95"/>
    <n v="20271"/>
    <x v="98"/>
    <x v="2"/>
    <n v="19257.45"/>
  </r>
  <r>
    <x v="121"/>
    <x v="90"/>
    <s v="2026-05-27"/>
    <s v="KH003"/>
    <x v="0"/>
    <s v="广州启航教育"/>
    <s v="KH003"/>
    <s v="KH003"/>
    <x v="79"/>
    <s v="0119"/>
    <s v="A"/>
    <x v="2"/>
    <s v="华南"/>
    <x v="0"/>
    <s v="CP011"/>
    <s v="办公软件年费授权"/>
    <n v="699"/>
    <n v="19"/>
    <n v="19"/>
    <n v="0.95"/>
    <n v="13281"/>
    <x v="99"/>
    <x v="1"/>
    <n v="12616.949999999999"/>
  </r>
  <r>
    <x v="122"/>
    <x v="91"/>
    <s v="2026-05-28"/>
    <s v="KH007"/>
    <x v="5"/>
    <s v="武汉长江实业"/>
    <s v="KH007"/>
    <s v="KH007"/>
    <x v="80"/>
    <s v="0120"/>
    <s v="B"/>
    <x v="2"/>
    <s v=" 华中"/>
    <x v="2"/>
    <s v="CP008"/>
    <s v="A4复印纸（5包/箱）"/>
    <n v="128"/>
    <s v="68"/>
    <n v="68"/>
    <n v="0.9"/>
    <n v="8704"/>
    <x v="100"/>
    <x v="3"/>
    <n v="7833.6"/>
  </r>
  <r>
    <x v="123"/>
    <x v="91"/>
    <s v="2026-05-28"/>
    <s v="KH010"/>
    <x v="12"/>
    <s v="苏州创智科技"/>
    <s v="KH010"/>
    <s v="KH010"/>
    <x v="80"/>
    <s v="0121"/>
    <s v="A"/>
    <x v="6"/>
    <s v="华东"/>
    <x v="1"/>
    <s v="CP003"/>
    <s v="碎纸机 SafeCut S8"/>
    <n v="899"/>
    <n v="3"/>
    <n v="3"/>
    <n v="1"/>
    <n v="2697"/>
    <x v="101"/>
    <x v="0"/>
    <n v="2697"/>
  </r>
  <r>
    <x v="124"/>
    <x v="92"/>
    <s v="2026-05-30"/>
    <s v="KH009"/>
    <x v="13"/>
    <s v="天津海河传媒"/>
    <s v="KH009"/>
    <s v="KH009"/>
    <x v="81"/>
    <s v="0122"/>
    <s v="C"/>
    <x v="7"/>
    <s v=" 华北"/>
    <x v="3"/>
    <s v="CP009"/>
    <s v="激光硒鼓 TonerMax 12A"/>
    <n v="385"/>
    <n v="85"/>
    <n v="85"/>
    <n v="0.9"/>
    <n v="32725"/>
    <x v="102"/>
    <x v="0"/>
    <n v="29452.5"/>
  </r>
  <r>
    <x v="125"/>
    <x v="93"/>
    <s v="2026-07-26"/>
    <s v="KH008"/>
    <x v="15"/>
    <s v="南京紫金山软件园运营"/>
    <s v="KH008"/>
    <s v="KH008"/>
    <x v="82"/>
    <s v="0172"/>
    <s v="C"/>
    <x v="4"/>
    <s v="华东"/>
    <x v="1"/>
    <s v="CP008"/>
    <s v="A4复印纸（5包/箱）"/>
    <n v="128"/>
    <n v="66"/>
    <n v="66"/>
    <n v="0.9"/>
    <n v="8448"/>
    <x v="103"/>
    <x v="1"/>
    <n v="7603.2"/>
  </r>
  <r>
    <x v="126"/>
    <x v="94"/>
    <s v="2026-05-31"/>
    <s v="KH013"/>
    <x v="16"/>
    <s v="石家庄振华商贸"/>
    <s v="KH013"/>
    <s v="KH013"/>
    <x v="83"/>
    <s v="0123"/>
    <s v="C"/>
    <x v="1"/>
    <s v="华北区"/>
    <x v="3"/>
    <s v="CP006"/>
    <s v="显示器 ViewMax 27"/>
    <n v="1299"/>
    <s v="5"/>
    <n v="5"/>
    <n v="1"/>
    <n v="6495"/>
    <x v="104"/>
    <x v="2"/>
    <n v="6495"/>
  </r>
  <r>
    <x v="127"/>
    <x v="95"/>
    <s v="2026-06-02"/>
    <s v="KH006"/>
    <x v="8"/>
    <s v="成都天府商贸"/>
    <s v="KH006"/>
    <s v="KH006"/>
    <x v="84"/>
    <s v="0124"/>
    <s v="C"/>
    <x v="1"/>
    <s v="西南"/>
    <x v="4"/>
    <s v="CP011"/>
    <s v="办公软件年费授权"/>
    <n v="699"/>
    <n v="35"/>
    <n v="35"/>
    <n v="0.95"/>
    <n v="24465"/>
    <x v="80"/>
    <x v="3"/>
    <n v="23241.75"/>
  </r>
  <r>
    <x v="128"/>
    <x v="77"/>
    <s v="2026-06-03"/>
    <s v="KH005"/>
    <x v="6"/>
    <s v="杭州云图信息"/>
    <s v="KH005"/>
    <s v="KH005"/>
    <x v="68"/>
    <s v="0125"/>
    <s v="A"/>
    <x v="1"/>
    <s v="华东"/>
    <x v="1"/>
    <s v="CP002"/>
    <s v="多功能一体机 PrintMaster 300 "/>
    <n v="3599"/>
    <n v="1"/>
    <n v="1"/>
    <n v="1"/>
    <n v="3599"/>
    <x v="105"/>
    <x v="2"/>
    <n v="3599"/>
  </r>
  <r>
    <x v="106"/>
    <x v="77"/>
    <s v="2026-06-03"/>
    <s v="KH009"/>
    <x v="13"/>
    <s v="天津海河传媒"/>
    <s v="KH009"/>
    <s v="KH009"/>
    <x v="68"/>
    <s v="0126"/>
    <s v="C"/>
    <x v="0"/>
    <s v="华北"/>
    <x v="3"/>
    <s v="CP002"/>
    <s v="多功能一体机 PrintMaster 300"/>
    <n v="3599"/>
    <n v="8"/>
    <n v="8"/>
    <n v="1"/>
    <n v="28792"/>
    <x v="60"/>
    <x v="2"/>
    <n v="28792"/>
  </r>
  <r>
    <x v="129"/>
    <x v="96"/>
    <s v="2026-06-07"/>
    <s v="KH003"/>
    <x v="0"/>
    <s v="广州启航教育"/>
    <s v="KH003"/>
    <s v="KH003"/>
    <x v="85"/>
    <s v="0127"/>
    <s v="A"/>
    <x v="1"/>
    <s v="华南"/>
    <x v="0"/>
    <s v="CP006"/>
    <s v="显示器 ViewMax 27"/>
    <n v="1299"/>
    <n v="1"/>
    <n v="1"/>
    <n v="1"/>
    <n v="1299"/>
    <x v="46"/>
    <x v="2"/>
    <n v="1299"/>
  </r>
  <r>
    <x v="130"/>
    <x v="97"/>
    <s v="2026-06-09"/>
    <s v="KH003"/>
    <x v="0"/>
    <s v="广州启航教育"/>
    <s v="KH003"/>
    <s v="KH003"/>
    <x v="86"/>
    <s v="0128"/>
    <s v="A"/>
    <x v="7"/>
    <s v="华南"/>
    <x v="0"/>
    <s v="CP011"/>
    <s v="办公软件年费授权"/>
    <n v="699"/>
    <n v="3"/>
    <n v="3"/>
    <n v="1"/>
    <n v="2097"/>
    <x v="106"/>
    <x v="1"/>
    <n v="2097"/>
  </r>
  <r>
    <x v="131"/>
    <x v="97"/>
    <s v="2026-06-09"/>
    <s v="KH001"/>
    <x v="9"/>
    <s v="北京华信科技"/>
    <s v="KH001"/>
    <s v="KH001"/>
    <x v="86"/>
    <s v="0129"/>
    <s v="A"/>
    <x v="5"/>
    <s v="华北"/>
    <x v="3"/>
    <s v="CP009"/>
    <s v="激光硒鼓 TonerMax 12A"/>
    <n v="385"/>
    <n v="25"/>
    <n v="25"/>
    <n v="0.95"/>
    <n v="9625"/>
    <x v="107"/>
    <x v="1"/>
    <n v="9143.75"/>
  </r>
  <r>
    <x v="132"/>
    <x v="98"/>
    <s v="2026-06-10"/>
    <s v="KH005"/>
    <x v="6"/>
    <s v="杭州云图信息"/>
    <s v="KH005"/>
    <s v="KH005"/>
    <x v="87"/>
    <s v="0130"/>
    <s v="A"/>
    <x v="0"/>
    <s v="华东"/>
    <x v="1"/>
    <s v="CP008"/>
    <s v="A4复印纸（5包/箱）"/>
    <n v="128"/>
    <n v="51"/>
    <n v="51"/>
    <n v="0.9"/>
    <n v="6528"/>
    <x v="108"/>
    <x v="1"/>
    <n v="5875.2"/>
  </r>
  <r>
    <x v="133"/>
    <x v="99"/>
    <s v="2026-06-13"/>
    <s v="KH007"/>
    <x v="5"/>
    <s v="武汉长江实业"/>
    <s v="KH007"/>
    <s v="KH007"/>
    <x v="88"/>
    <s v="0131"/>
    <s v="B"/>
    <x v="5"/>
    <s v="华中"/>
    <x v="2"/>
    <s v="CP008"/>
    <s v="A4复印纸（5包/箱）"/>
    <n v="128"/>
    <n v="118"/>
    <n v="118"/>
    <n v="0.85"/>
    <n v="15104"/>
    <x v="109"/>
    <x v="2"/>
    <n v="12838.4"/>
  </r>
  <r>
    <x v="134"/>
    <x v="100"/>
    <s v="2026-06-15"/>
    <s v="KH010"/>
    <x v="12"/>
    <s v="苏州创智科技"/>
    <s v="KH010"/>
    <s v="KH010"/>
    <x v="89"/>
    <s v="0132"/>
    <s v="A"/>
    <x v="6"/>
    <s v="华东"/>
    <x v="1"/>
    <s v="CP009"/>
    <s v="激光硒鼓 TonerMax 12A "/>
    <n v="385"/>
    <n v="66"/>
    <n v="66"/>
    <n v="0.9"/>
    <n v="25410"/>
    <x v="110"/>
    <x v="1"/>
    <n v="22869"/>
  </r>
  <r>
    <x v="135"/>
    <x v="100"/>
    <s v="2026-06-15"/>
    <s v="KH011"/>
    <x v="7"/>
    <s v="重庆山城办公设备"/>
    <s v="KH011"/>
    <s v="KH011"/>
    <x v="89"/>
    <s v="0133"/>
    <s v="B"/>
    <x v="7"/>
    <s v="西南"/>
    <x v="4"/>
    <s v="CP009"/>
    <s v="激光硒鼓 TonerMax 12A"/>
    <n v="385"/>
    <n v="71"/>
    <n v="71"/>
    <n v="0.9"/>
    <s v="¥27,335.00"/>
    <x v="111"/>
    <x v="2"/>
    <n v="24601.5"/>
  </r>
  <r>
    <x v="136"/>
    <x v="100"/>
    <s v="2026-06-15"/>
    <s v="KH004"/>
    <x v="18"/>
    <s v="深圳蓝鲸网络"/>
    <s v="KH004"/>
    <s v="KH004"/>
    <x v="89"/>
    <s v="0134"/>
    <s v="B"/>
    <x v="0"/>
    <s v="华南"/>
    <x v="0"/>
    <s v="CP010"/>
    <s v="签字笔盒装（12支）"/>
    <n v="45"/>
    <n v="77"/>
    <n v="77"/>
    <n v="0.9"/>
    <n v="3465"/>
    <x v="112"/>
    <x v="3"/>
    <n v="3118.5"/>
  </r>
  <r>
    <x v="137"/>
    <x v="101"/>
    <s v="2026-06-16"/>
    <s v="KH005"/>
    <x v="6"/>
    <s v="杭州云图信息"/>
    <s v="KH005"/>
    <s v="KH005"/>
    <x v="90"/>
    <s v="0135"/>
    <s v="A"/>
    <x v="2"/>
    <s v="华东"/>
    <x v="1"/>
    <s v="CP011"/>
    <s v="办公软件年费授权"/>
    <n v="699"/>
    <n v="22"/>
    <n v="22"/>
    <n v="0.95"/>
    <n v="15378"/>
    <x v="113"/>
    <x v="1"/>
    <n v="14609.099999999999"/>
  </r>
  <r>
    <x v="138"/>
    <x v="102"/>
    <s v="2026-06-17"/>
    <s v="KH017"/>
    <x v="4"/>
    <s v="郑州中原物流"/>
    <s v="KH017"/>
    <s v="KH017"/>
    <x v="91"/>
    <s v="0136"/>
    <s v="B"/>
    <x v="3"/>
    <s v="华中"/>
    <x v="2"/>
    <s v="CP008"/>
    <s v="A4复印纸（5包/箱）"/>
    <n v="128"/>
    <n v="55"/>
    <n v="55"/>
    <n v="0.9"/>
    <n v="7040"/>
    <x v="50"/>
    <x v="0"/>
    <n v="6336"/>
  </r>
  <r>
    <x v="139"/>
    <x v="103"/>
    <s v="2026-06-19"/>
    <s v="KH002"/>
    <x v="1"/>
    <s v="上海锦程贸易"/>
    <s v="KH002"/>
    <s v="KH002"/>
    <x v="92"/>
    <s v="0137"/>
    <s v="B"/>
    <x v="1"/>
    <s v="华东"/>
    <x v="1"/>
    <s v="CP006"/>
    <s v="显示器 ViewMax 27"/>
    <n v="1299"/>
    <n v="4"/>
    <n v="4"/>
    <n v="1"/>
    <n v="5196"/>
    <x v="94"/>
    <x v="2"/>
    <n v="5196"/>
  </r>
  <r>
    <x v="140"/>
    <x v="104"/>
    <s v="2026-06-21"/>
    <s v="KH009"/>
    <x v="13"/>
    <s v="天津海河传媒"/>
    <s v="KH009"/>
    <s v="KH009"/>
    <x v="93"/>
    <s v="0138"/>
    <s v="C"/>
    <x v="4"/>
    <s v="华北"/>
    <x v="3"/>
    <s v="CP011"/>
    <s v="办公软件年费授权"/>
    <n v="699"/>
    <n v="8"/>
    <n v="8"/>
    <n v="1"/>
    <s v="¥5,592.00"/>
    <x v="114"/>
    <x v="2"/>
    <n v="5592"/>
  </r>
  <r>
    <x v="141"/>
    <x v="104"/>
    <s v="2026-06-21"/>
    <s v="KH001"/>
    <x v="9"/>
    <s v="北京华信科技"/>
    <s v="KH001"/>
    <s v="KH001"/>
    <x v="93"/>
    <s v="0139"/>
    <s v="A"/>
    <x v="3"/>
    <s v="华北"/>
    <x v="3"/>
    <s v="CP004"/>
    <s v="笔记本电脑 TechBook 14"/>
    <n v="5699"/>
    <s v="5"/>
    <n v="5"/>
    <n v="1"/>
    <n v="28495"/>
    <x v="27"/>
    <x v="2"/>
    <n v="28495"/>
  </r>
  <r>
    <x v="142"/>
    <x v="105"/>
    <s v="2026-06-22"/>
    <s v="KH018"/>
    <x v="19"/>
    <s v="厦门鹭岛文创"/>
    <s v="KH018"/>
    <s v="KH018"/>
    <x v="94"/>
    <s v="0140"/>
    <s v="C"/>
    <x v="7"/>
    <s v="华南"/>
    <x v="0"/>
    <s v="CP002"/>
    <s v="多功能一体机 PrintMaster 300"/>
    <n v="3599"/>
    <s v="3"/>
    <n v="3"/>
    <n v="1"/>
    <n v="10797"/>
    <x v="115"/>
    <x v="2"/>
    <n v="10797"/>
  </r>
  <r>
    <x v="143"/>
    <x v="106"/>
    <s v="2026-06-23"/>
    <s v="KH017"/>
    <x v="4"/>
    <s v="郑州中原物流"/>
    <s v="KH017"/>
    <s v="KH017"/>
    <x v="95"/>
    <s v="0141"/>
    <s v="B"/>
    <x v="1"/>
    <s v="华中"/>
    <x v="2"/>
    <s v="CP011"/>
    <s v="办公软件年费授权"/>
    <n v="699"/>
    <n v="37"/>
    <n v="37"/>
    <n v="0.95"/>
    <n v="25863"/>
    <x v="116"/>
    <x v="3"/>
    <n v="24569.85"/>
  </r>
  <r>
    <x v="144"/>
    <x v="107"/>
    <s v="2026-06-25"/>
    <s v="KH010"/>
    <x v="12"/>
    <s v="苏州创智科技"/>
    <s v="KH010"/>
    <s v="KH010"/>
    <x v="96"/>
    <s v="0142"/>
    <s v="A"/>
    <x v="7"/>
    <s v=" 华东"/>
    <x v="1"/>
    <s v="CP001"/>
    <s v="激光打印机 ProLaser 200 "/>
    <n v="2499"/>
    <n v="8"/>
    <n v="8"/>
    <n v="1"/>
    <n v="19992"/>
    <x v="117"/>
    <x v="0"/>
    <n v="19992"/>
  </r>
  <r>
    <x v="145"/>
    <x v="108"/>
    <s v="2026-06-26"/>
    <s v="KH018"/>
    <x v="19"/>
    <s v="厦门鹭岛文创"/>
    <s v="KH018"/>
    <s v="KH018"/>
    <x v="97"/>
    <s v="0143"/>
    <s v="C"/>
    <x v="7"/>
    <s v="华南"/>
    <x v="0"/>
    <s v="CP012"/>
    <s v="云存储服务（1TB/年）"/>
    <n v="599"/>
    <n v="32"/>
    <n v="32"/>
    <n v="0.95"/>
    <n v="19168"/>
    <x v="118"/>
    <x v="2"/>
    <n v="18209.599999999999"/>
  </r>
  <r>
    <x v="146"/>
    <x v="109"/>
    <s v="2026-06-27"/>
    <s v="KH003"/>
    <x v="0"/>
    <s v="广州启航教育"/>
    <s v="KH003"/>
    <s v="KH003"/>
    <x v="98"/>
    <s v="0144"/>
    <s v="A"/>
    <x v="7"/>
    <s v="华南"/>
    <x v="0"/>
    <s v="CP002"/>
    <s v="多功能一体机 PrintMaster 300"/>
    <n v="3599"/>
    <n v="4"/>
    <n v="4"/>
    <n v="1"/>
    <n v="14396"/>
    <x v="119"/>
    <x v="2"/>
    <n v="14396"/>
  </r>
  <r>
    <x v="147"/>
    <x v="110"/>
    <s v="2026-06-28"/>
    <s v="KH012"/>
    <x v="2"/>
    <s v="长沙麓山科技"/>
    <s v="KH012"/>
    <s v="KH012"/>
    <x v="99"/>
    <s v="0145"/>
    <s v="B"/>
    <x v="1"/>
    <s v="华中 "/>
    <x v="2"/>
    <s v="CP008"/>
    <s v="A4复印纸（5包/箱）"/>
    <n v="128"/>
    <n v="43"/>
    <n v="43"/>
    <n v="0.95"/>
    <n v="5504"/>
    <x v="120"/>
    <x v="3"/>
    <n v="5228.8"/>
  </r>
  <r>
    <x v="148"/>
    <x v="111"/>
    <s v="2026-06-29"/>
    <s v="KH014"/>
    <x v="14"/>
    <s v="宁波海港实业"/>
    <s v="KH014"/>
    <s v="KH014"/>
    <x v="100"/>
    <s v="0146"/>
    <s v="B"/>
    <x v="0"/>
    <s v="华东"/>
    <x v="1"/>
    <s v="CP003"/>
    <s v="碎纸机 SafeCut S8"/>
    <n v="899"/>
    <n v="4"/>
    <n v="4"/>
    <n v="1"/>
    <n v="3596"/>
    <x v="7"/>
    <x v="3"/>
    <n v="3596"/>
  </r>
  <r>
    <x v="149"/>
    <x v="112"/>
    <s v="2026-06-30"/>
    <s v="KH010"/>
    <x v="12"/>
    <s v="苏州创智科技"/>
    <s v="KH010"/>
    <s v="KH010"/>
    <x v="101"/>
    <s v="0147"/>
    <s v="A"/>
    <x v="0"/>
    <s v="华东"/>
    <x v="1"/>
    <s v="CP004"/>
    <s v="笔记本电脑 TechBook 14"/>
    <n v="5699"/>
    <n v="7"/>
    <n v="7"/>
    <n v="1"/>
    <n v="39893"/>
    <x v="121"/>
    <x v="2"/>
    <n v="39893"/>
  </r>
  <r>
    <x v="150"/>
    <x v="112"/>
    <s v="2026-06-30"/>
    <s v="KH001"/>
    <x v="9"/>
    <s v="北京华信科技"/>
    <s v="KH001"/>
    <s v="KH001"/>
    <x v="101"/>
    <s v="0148"/>
    <s v="A"/>
    <x v="1"/>
    <s v="华北"/>
    <x v="3"/>
    <s v="CP007"/>
    <s v="无线键鼠套装 KeyFree 2.0"/>
    <n v="299"/>
    <n v="9"/>
    <n v="9"/>
    <n v="1"/>
    <s v="¥2,691.00"/>
    <x v="1"/>
    <x v="2"/>
    <n v="2691"/>
  </r>
  <r>
    <x v="151"/>
    <x v="113"/>
    <s v="2026-07-01"/>
    <s v="KH012"/>
    <x v="2"/>
    <s v="长沙麓山科技"/>
    <s v="KH012"/>
    <s v="KH012"/>
    <x v="102"/>
    <s v="0149"/>
    <s v="B"/>
    <x v="6"/>
    <s v="华中"/>
    <x v="2"/>
    <s v="CP003"/>
    <s v="碎纸机 SafeCut S8"/>
    <n v="899"/>
    <n v="3"/>
    <n v="3"/>
    <n v="1"/>
    <n v="2697"/>
    <x v="101"/>
    <x v="2"/>
    <n v="2697"/>
  </r>
  <r>
    <x v="152"/>
    <x v="114"/>
    <s v="2026-07-02"/>
    <s v="KH006"/>
    <x v="8"/>
    <s v="成都天府商贸"/>
    <s v="KH006"/>
    <s v="KH006"/>
    <x v="103"/>
    <s v="0150"/>
    <s v="C"/>
    <x v="3"/>
    <s v="西南区"/>
    <x v="4"/>
    <s v="CP005"/>
    <s v="台式电脑 PowerDesk 500"/>
    <n v="4299"/>
    <n v="11"/>
    <n v="11"/>
    <n v="0.95"/>
    <n v="47289"/>
    <x v="122"/>
    <x v="2"/>
    <n v="44924.549999999996"/>
  </r>
  <r>
    <x v="153"/>
    <x v="21"/>
    <s v="2026-07-03"/>
    <s v="KH001"/>
    <x v="9"/>
    <s v="北京华信科技"/>
    <s v="KH001"/>
    <s v="KH001"/>
    <x v="20"/>
    <s v="0151"/>
    <s v="A"/>
    <x v="6"/>
    <s v="华北"/>
    <x v="3"/>
    <s v="CP002"/>
    <s v="多功能一体机 PrintMaster 300"/>
    <n v="3599"/>
    <n v="3"/>
    <n v="3"/>
    <n v="1"/>
    <n v="10797"/>
    <x v="115"/>
    <x v="3"/>
    <n v="10797"/>
  </r>
  <r>
    <x v="154"/>
    <x v="21"/>
    <s v="2026-07-03"/>
    <s v="KH010"/>
    <x v="12"/>
    <s v="苏州创智科技"/>
    <s v="KH010"/>
    <s v="KH010"/>
    <x v="20"/>
    <s v="0153"/>
    <s v="A"/>
    <x v="1"/>
    <s v="华东"/>
    <x v="1"/>
    <s v="CP003"/>
    <s v="碎纸机 SafeCut S8"/>
    <n v="899"/>
    <n v="7"/>
    <n v="7"/>
    <n v="1"/>
    <n v="6293"/>
    <x v="48"/>
    <x v="0"/>
    <n v="6293"/>
  </r>
  <r>
    <x v="155"/>
    <x v="115"/>
    <s v="2026-07-05"/>
    <s v="KH010"/>
    <x v="12"/>
    <s v="苏州创智科技"/>
    <s v="KH010"/>
    <s v="KH010"/>
    <x v="104"/>
    <s v="0154"/>
    <s v="A"/>
    <x v="5"/>
    <s v="华东"/>
    <x v="1"/>
    <s v="CP007"/>
    <s v="无线键鼠套装 KeyFree 2.0"/>
    <n v="299"/>
    <n v="10"/>
    <n v="10"/>
    <n v="0.95"/>
    <n v="2990"/>
    <x v="59"/>
    <x v="2"/>
    <n v="2840.5"/>
  </r>
  <r>
    <x v="156"/>
    <x v="116"/>
    <s v="2026-07-06"/>
    <s v="KH006"/>
    <x v="8"/>
    <s v="成都天府商贸"/>
    <s v="KH006"/>
    <s v="KH006"/>
    <x v="105"/>
    <s v="0155"/>
    <s v="C"/>
    <x v="7"/>
    <s v="西南区"/>
    <x v="4"/>
    <s v="CP010"/>
    <s v="签字笔盒装（12支）"/>
    <n v="45"/>
    <s v="85"/>
    <n v="85"/>
    <n v="0.9"/>
    <n v="3825"/>
    <x v="6"/>
    <x v="1"/>
    <n v="3442.5"/>
  </r>
  <r>
    <x v="157"/>
    <x v="117"/>
    <s v="2026-07-07"/>
    <s v="KH004"/>
    <x v="18"/>
    <s v="深圳蓝鲸网络"/>
    <s v="KH004"/>
    <s v="KH004"/>
    <x v="106"/>
    <s v="0156"/>
    <s v="B"/>
    <x v="2"/>
    <s v="华南"/>
    <x v="0"/>
    <s v="CP006"/>
    <s v="显示器 ViewMax 27"/>
    <n v="1299"/>
    <n v="4"/>
    <n v="4"/>
    <n v="1"/>
    <n v="5196"/>
    <x v="94"/>
    <x v="1"/>
    <n v="5196"/>
  </r>
  <r>
    <x v="158"/>
    <x v="118"/>
    <s v="2026-07-10"/>
    <s v="KH011"/>
    <x v="7"/>
    <s v="重庆山城办公设备"/>
    <s v="KH011"/>
    <s v="KH011"/>
    <x v="107"/>
    <s v="0157"/>
    <s v="B"/>
    <x v="2"/>
    <s v=" 西南"/>
    <x v="4"/>
    <s v="CP012"/>
    <s v="云存储服务（1TB/年）"/>
    <n v="599"/>
    <n v="13"/>
    <n v="13"/>
    <n v="0.95"/>
    <n v="7787"/>
    <x v="123"/>
    <x v="1"/>
    <n v="7397.65"/>
  </r>
  <r>
    <x v="159"/>
    <x v="119"/>
    <s v="2026-07-12"/>
    <s v="KH001"/>
    <x v="9"/>
    <s v="北京华信科技"/>
    <s v="KH001"/>
    <s v="KH001"/>
    <x v="108"/>
    <s v="0158"/>
    <s v="A"/>
    <x v="0"/>
    <s v="华北区"/>
    <x v="3"/>
    <s v="CP001"/>
    <s v="激光打印机 ProLaser 200"/>
    <n v="2499"/>
    <n v="3"/>
    <n v="3"/>
    <n v="1"/>
    <n v="7122.15"/>
    <x v="124"/>
    <x v="1"/>
    <n v="7497"/>
  </r>
  <r>
    <x v="160"/>
    <x v="119"/>
    <s v="2026-07-12"/>
    <s v="KH004"/>
    <x v="18"/>
    <s v="深圳蓝鲸网络"/>
    <s v="KH004"/>
    <s v="KH004"/>
    <x v="108"/>
    <s v="0159"/>
    <s v="B"/>
    <x v="0"/>
    <s v="华南区"/>
    <x v="0"/>
    <s v="CP008"/>
    <s v="A4复印纸（5包/箱）"/>
    <n v="128"/>
    <n v="30"/>
    <n v="30"/>
    <n v="0.95"/>
    <n v="3840"/>
    <x v="125"/>
    <x v="2"/>
    <n v="3648"/>
  </r>
  <r>
    <x v="161"/>
    <x v="120"/>
    <s v="2026-07-16"/>
    <s v="KH003"/>
    <x v="0"/>
    <s v="广州启航教育"/>
    <s v="KH003"/>
    <s v="KH003"/>
    <x v="109"/>
    <s v="0160"/>
    <s v="A"/>
    <x v="3"/>
    <s v="华南区"/>
    <x v="0"/>
    <s v="CP009"/>
    <s v="激光硒鼓 TonerMax 12A "/>
    <n v="385"/>
    <n v="49"/>
    <n v="49"/>
    <n v="0.95"/>
    <n v="18865"/>
    <x v="126"/>
    <x v="2"/>
    <n v="17921.75"/>
  </r>
  <r>
    <x v="162"/>
    <x v="120"/>
    <s v="2026-07-16"/>
    <s v="KH004"/>
    <x v="18"/>
    <s v="深圳蓝鲸网络"/>
    <s v="KH004"/>
    <s v="KH004"/>
    <x v="109"/>
    <s v="0161"/>
    <s v="B"/>
    <x v="3"/>
    <s v="华南"/>
    <x v="0"/>
    <s v="CP007"/>
    <s v="无线键鼠套装 KeyFree 2.0"/>
    <n v="299"/>
    <n v="5"/>
    <n v="5"/>
    <n v="1"/>
    <s v="¥1,495.00"/>
    <x v="127"/>
    <x v="2"/>
    <n v="1495"/>
  </r>
  <r>
    <x v="163"/>
    <x v="120"/>
    <s v="2026-07-16"/>
    <s v="KH012"/>
    <x v="2"/>
    <s v="长沙麓山科技"/>
    <s v="KH012"/>
    <s v="KH012"/>
    <x v="109"/>
    <s v="0162"/>
    <s v="B"/>
    <x v="1"/>
    <s v="华中"/>
    <x v="2"/>
    <s v="CP007"/>
    <s v="无线键鼠套装 KeyFree 2.0"/>
    <n v="299"/>
    <n v="2"/>
    <n v="2"/>
    <n v="1"/>
    <n v="598"/>
    <x v="23"/>
    <x v="2"/>
    <n v="598"/>
  </r>
  <r>
    <x v="164"/>
    <x v="121"/>
    <s v="2026-07-17"/>
    <s v="KH005"/>
    <x v="6"/>
    <s v="杭州云图信息"/>
    <s v="KH005"/>
    <s v="KH005"/>
    <x v="110"/>
    <s v="0163"/>
    <s v="A"/>
    <x v="2"/>
    <s v="华东区"/>
    <x v="1"/>
    <s v="CP011"/>
    <s v="办公软件年费授权"/>
    <n v="699"/>
    <n v="26"/>
    <n v="26"/>
    <n v="0.95"/>
    <s v="¥18,174.00"/>
    <x v="128"/>
    <x v="2"/>
    <n v="17265.3"/>
  </r>
  <r>
    <x v="165"/>
    <x v="122"/>
    <s v="2026-07-18"/>
    <s v="KH008"/>
    <x v="15"/>
    <s v="南京紫金山软件园运营"/>
    <s v="KH008"/>
    <s v="KH008"/>
    <x v="111"/>
    <s v="0164"/>
    <s v="C"/>
    <x v="2"/>
    <s v="华东"/>
    <x v="1"/>
    <s v="CP012"/>
    <s v="云存储服务（1TB/年）"/>
    <n v="599"/>
    <n v="21"/>
    <n v="21"/>
    <n v="0.95"/>
    <n v="12579"/>
    <x v="129"/>
    <x v="2"/>
    <n v="11950.05"/>
  </r>
  <r>
    <x v="166"/>
    <x v="123"/>
    <s v="2026-07-20"/>
    <s v="KH012"/>
    <x v="2"/>
    <s v="长沙麓山科技"/>
    <s v="KH012"/>
    <s v="KH012"/>
    <x v="112"/>
    <s v="0165"/>
    <s v="B"/>
    <x v="3"/>
    <s v="华中"/>
    <x v="2"/>
    <s v="CP007"/>
    <s v="无线键鼠套装 KeyFree 2.0"/>
    <n v="299"/>
    <n v="6"/>
    <n v="6"/>
    <n v="1"/>
    <n v="1794"/>
    <x v="42"/>
    <x v="2"/>
    <n v="1794"/>
  </r>
  <r>
    <x v="167"/>
    <x v="124"/>
    <s v="2026-07-20"/>
    <s v="KH010"/>
    <x v="12"/>
    <s v="苏州创智科技"/>
    <s v="KH010"/>
    <s v="KH010"/>
    <x v="112"/>
    <s v="0166"/>
    <s v="A"/>
    <x v="2"/>
    <s v="华东"/>
    <x v="1"/>
    <s v="CP004"/>
    <s v="笔记本电脑 TechBook 14"/>
    <n v="5699"/>
    <n v="12"/>
    <n v="12"/>
    <n v="0.95"/>
    <n v="68388"/>
    <x v="76"/>
    <x v="1"/>
    <n v="64968.6"/>
  </r>
  <r>
    <x v="168"/>
    <x v="125"/>
    <s v="2026-07-24"/>
    <s v="KH015"/>
    <x v="17"/>
    <s v="佛山美的家电商贸"/>
    <s v="KH015"/>
    <s v="KH015"/>
    <x v="113"/>
    <s v="0167"/>
    <s v="A"/>
    <x v="5"/>
    <s v="华南"/>
    <x v="0"/>
    <s v="CP007"/>
    <s v="无线键鼠套装 KeyFree 2.0"/>
    <n v="299"/>
    <n v="12"/>
    <n v="12"/>
    <n v="0.95"/>
    <n v="3588"/>
    <x v="62"/>
    <x v="2"/>
    <n v="3408.6"/>
  </r>
  <r>
    <x v="169"/>
    <x v="126"/>
    <s v="2026-07-25"/>
    <s v="KH002"/>
    <x v="1"/>
    <s v="上海锦程贸易"/>
    <s v="KH002"/>
    <s v="KH002"/>
    <x v="114"/>
    <s v="0168"/>
    <s v="B"/>
    <x v="5"/>
    <s v="华东区"/>
    <x v="1"/>
    <s v="CP007"/>
    <s v="无线键鼠套装 KeyFree 2.0"/>
    <n v="299"/>
    <n v="10"/>
    <n v="10"/>
    <n v="0.95"/>
    <n v="2990"/>
    <x v="59"/>
    <x v="1"/>
    <n v="2840.5"/>
  </r>
  <r>
    <x v="170"/>
    <x v="126"/>
    <s v="2026-07-25"/>
    <s v="KH007"/>
    <x v="5"/>
    <s v="武汉长江实业"/>
    <s v="KH007"/>
    <s v="KH007"/>
    <x v="114"/>
    <s v="0169"/>
    <s v="B"/>
    <x v="4"/>
    <s v="华中"/>
    <x v="2"/>
    <s v="CP009"/>
    <s v="激光硒鼓 TonerMax 12A"/>
    <n v="385"/>
    <n v="48"/>
    <n v="48"/>
    <n v="0.95"/>
    <n v="18480"/>
    <x v="130"/>
    <x v="1"/>
    <n v="17556"/>
  </r>
  <r>
    <x v="171"/>
    <x v="127"/>
    <s v="2026-07-26"/>
    <s v="KH006"/>
    <x v="8"/>
    <s v="成都天府商贸"/>
    <s v="KH006"/>
    <s v="KH006"/>
    <x v="82"/>
    <s v="0170"/>
    <s v="C"/>
    <x v="3"/>
    <s v="西南"/>
    <x v="4"/>
    <s v="CP012"/>
    <s v="云存储服务（1TB/年）"/>
    <n v="599"/>
    <n v="17"/>
    <n v="17"/>
    <n v="0.95"/>
    <n v="10183"/>
    <x v="131"/>
    <x v="2"/>
    <n v="9673.85"/>
  </r>
  <r>
    <x v="172"/>
    <x v="93"/>
    <s v="2026-07-26"/>
    <s v="KH001"/>
    <x v="9"/>
    <s v="北京华信科技"/>
    <s v="KH001"/>
    <s v="KH001"/>
    <x v="82"/>
    <s v="0171"/>
    <s v="A"/>
    <x v="2"/>
    <s v="华北"/>
    <x v="3"/>
    <s v="CP009"/>
    <s v="激光硒鼓 TonerMax 12A"/>
    <n v="385"/>
    <n v="35"/>
    <n v="35"/>
    <n v="0.95"/>
    <n v="13475"/>
    <x v="132"/>
    <x v="2"/>
    <n v="12801.25"/>
  </r>
  <r>
    <x v="173"/>
    <x v="128"/>
    <s v="2026-07-26"/>
    <s v="KH013"/>
    <x v="16"/>
    <s v="石家庄振华商贸"/>
    <s v="KH013"/>
    <s v="KH013"/>
    <x v="82"/>
    <s v="0173"/>
    <s v="C"/>
    <x v="7"/>
    <s v="华北"/>
    <x v="3"/>
    <s v="CP009"/>
    <s v="激光硒鼓 TonerMax 12A"/>
    <n v="385"/>
    <n v="104"/>
    <n v="104"/>
    <n v="0.85"/>
    <n v="40040"/>
    <x v="133"/>
    <x v="3"/>
    <n v="34034"/>
  </r>
  <r>
    <x v="174"/>
    <x v="129"/>
    <s v="2026-07-27"/>
    <s v="KH010"/>
    <x v="12"/>
    <s v="苏州创智科技"/>
    <s v="KH010"/>
    <s v="KH010"/>
    <x v="115"/>
    <s v="0174"/>
    <s v="A"/>
    <x v="4"/>
    <s v="华东"/>
    <x v="1"/>
    <s v="CP008"/>
    <s v="A4复印纸（5包/箱）"/>
    <n v="128"/>
    <n v="117"/>
    <n v="117"/>
    <n v="0.85"/>
    <n v="14976"/>
    <x v="134"/>
    <x v="2"/>
    <n v="12729.6"/>
  </r>
  <r>
    <x v="175"/>
    <x v="130"/>
    <s v="2026-07-28"/>
    <s v="KH014"/>
    <x v="14"/>
    <s v="宁波海港实业"/>
    <s v="KH014"/>
    <s v="KH014"/>
    <x v="116"/>
    <s v="0175"/>
    <s v="B"/>
    <x v="2"/>
    <s v="华东"/>
    <x v="1"/>
    <s v="CP011"/>
    <s v="办公软件年费授权"/>
    <n v="699"/>
    <n v="34"/>
    <n v="34"/>
    <n v="0.95"/>
    <n v="23766"/>
    <x v="135"/>
    <x v="3"/>
    <n v="22577.7"/>
  </r>
  <r>
    <x v="176"/>
    <x v="131"/>
    <s v="2026-07-29"/>
    <s v="KH016"/>
    <x v="10"/>
    <s v="昆明滇池科技"/>
    <s v="KH016"/>
    <s v="KH016"/>
    <x v="117"/>
    <s v="0176"/>
    <s v="C"/>
    <x v="5"/>
    <s v="西南区"/>
    <x v="4"/>
    <s v="CP009"/>
    <s v="激光硒鼓 TonerMax 12A"/>
    <n v="385"/>
    <n v="54"/>
    <n v="54"/>
    <n v="0.9"/>
    <n v="20790"/>
    <x v="136"/>
    <x v="1"/>
    <n v="18711"/>
  </r>
  <r>
    <x v="177"/>
    <x v="131"/>
    <s v="2026-07-29"/>
    <s v="KH010"/>
    <x v="12"/>
    <s v="苏州创智科技"/>
    <s v="KH010"/>
    <s v="KH010"/>
    <x v="117"/>
    <s v="0177"/>
    <s v="A"/>
    <x v="4"/>
    <s v="华东"/>
    <x v="1"/>
    <s v="CP001"/>
    <s v="激光打印机 ProLaser 200"/>
    <n v="2499"/>
    <n v="7"/>
    <n v="7"/>
    <n v="1"/>
    <n v="19242.3"/>
    <x v="137"/>
    <x v="1"/>
    <n v="17493"/>
  </r>
  <r>
    <x v="178"/>
    <x v="132"/>
    <s v="2026-07-31"/>
    <s v="KH018"/>
    <x v="19"/>
    <s v="厦门鹭岛文创"/>
    <s v="KH018"/>
    <s v="KH018"/>
    <x v="118"/>
    <s v="0178"/>
    <s v="C"/>
    <x v="4"/>
    <s v="华南"/>
    <x v="0"/>
    <s v="CP011"/>
    <s v="办公软件年费授权"/>
    <n v="699"/>
    <n v="17"/>
    <n v="17"/>
    <n v="0.95"/>
    <n v="11883"/>
    <x v="138"/>
    <x v="2"/>
    <n v="11288.85"/>
  </r>
  <r>
    <x v="179"/>
    <x v="133"/>
    <s v="2026-08-01"/>
    <s v="KH015"/>
    <x v="17"/>
    <s v="佛山美的家电商贸"/>
    <s v="KH015"/>
    <s v="KH015"/>
    <x v="119"/>
    <s v="0179"/>
    <s v="A"/>
    <x v="6"/>
    <s v="华南"/>
    <x v="0"/>
    <s v="CP011"/>
    <s v="办公软件年费授权"/>
    <n v="699"/>
    <n v="8"/>
    <n v="8"/>
    <n v="1"/>
    <n v="5032.8"/>
    <x v="114"/>
    <x v="2"/>
    <n v="5592"/>
  </r>
  <r>
    <x v="180"/>
    <x v="133"/>
    <s v="2026-08-01"/>
    <s v="KH010"/>
    <x v="12"/>
    <s v="苏州创智科技"/>
    <s v="KH010"/>
    <s v="KH010"/>
    <x v="119"/>
    <s v="0180"/>
    <s v="A"/>
    <x v="4"/>
    <s v="华东"/>
    <x v="1"/>
    <s v="CP007"/>
    <s v="无线键鼠套装 KeyFree 2.0"/>
    <n v="299"/>
    <n v="3"/>
    <n v="3"/>
    <n v="1"/>
    <n v="897"/>
    <x v="139"/>
    <x v="2"/>
    <n v="897"/>
  </r>
  <r>
    <x v="181"/>
    <x v="134"/>
    <s v="2026-08-04"/>
    <s v="KH007"/>
    <x v="5"/>
    <s v="武汉长江实业"/>
    <s v="KH007"/>
    <s v="KH007"/>
    <x v="120"/>
    <s v="0181"/>
    <s v="B"/>
    <x v="1"/>
    <s v="华中"/>
    <x v="2"/>
    <s v="CP008"/>
    <s v="A4复印纸（5包/箱）"/>
    <n v="128"/>
    <n v="22"/>
    <n v="22"/>
    <n v="0.95"/>
    <n v="2816"/>
    <x v="140"/>
    <x v="2"/>
    <n v="2675.2"/>
  </r>
  <r>
    <x v="182"/>
    <x v="134"/>
    <s v="2026-08-04"/>
    <s v="KH002"/>
    <x v="1"/>
    <s v="上海锦程贸易"/>
    <s v="KH002"/>
    <s v="KH002"/>
    <x v="120"/>
    <s v="0182"/>
    <s v="B"/>
    <x v="1"/>
    <s v="华东"/>
    <x v="1"/>
    <s v="CP009"/>
    <s v="激光硒鼓 TonerMax 12A"/>
    <n v="385"/>
    <n v="91"/>
    <n v="91"/>
    <n v="0.9"/>
    <n v="35035"/>
    <x v="141"/>
    <x v="2"/>
    <n v="31531.5"/>
  </r>
  <r>
    <x v="183"/>
    <x v="135"/>
    <s v="2026-08-05"/>
    <s v="KH005"/>
    <x v="6"/>
    <s v="杭州云图信息"/>
    <s v="KH005"/>
    <s v="KH005"/>
    <x v="121"/>
    <s v="0183"/>
    <s v="A"/>
    <x v="1"/>
    <s v="华东区"/>
    <x v="1"/>
    <s v="CP011"/>
    <s v="办公软件年费授权"/>
    <n v="699"/>
    <n v="8"/>
    <n v="8"/>
    <n v="1"/>
    <n v="5592"/>
    <x v="114"/>
    <x v="1"/>
    <n v="5592"/>
  </r>
  <r>
    <x v="184"/>
    <x v="136"/>
    <s v="2026-08-06"/>
    <s v="KH013"/>
    <x v="16"/>
    <s v="石家庄振华商贸"/>
    <s v="KH013"/>
    <s v="KH013"/>
    <x v="122"/>
    <s v="0184"/>
    <s v="C"/>
    <x v="1"/>
    <s v="华北区"/>
    <x v="3"/>
    <s v="CP007"/>
    <s v="无线键鼠套装 KeyFree 2.0"/>
    <n v="299"/>
    <s v="7"/>
    <n v="7"/>
    <n v="1"/>
    <n v="2093"/>
    <x v="15"/>
    <x v="1"/>
    <n v="2093"/>
  </r>
  <r>
    <x v="185"/>
    <x v="136"/>
    <s v="2026-08-06"/>
    <s v="KH016"/>
    <x v="10"/>
    <s v="昆明滇池科技"/>
    <s v="KH016"/>
    <s v="KH016"/>
    <x v="122"/>
    <s v="0185"/>
    <s v="C"/>
    <x v="0"/>
    <s v="西南区"/>
    <x v="4"/>
    <s v="CP004"/>
    <s v="笔记本电脑 TechBook 14"/>
    <n v="5699"/>
    <s v="9"/>
    <n v="9"/>
    <n v="1"/>
    <n v="51291"/>
    <x v="142"/>
    <x v="2"/>
    <n v="51291"/>
  </r>
  <r>
    <x v="186"/>
    <x v="137"/>
    <s v="2026-08-09"/>
    <s v="KH003"/>
    <x v="0"/>
    <s v="广州启航教育"/>
    <s v="KH003"/>
    <s v="KH003"/>
    <x v="123"/>
    <s v="0186"/>
    <s v="A"/>
    <x v="3"/>
    <s v="华南"/>
    <x v="0"/>
    <s v="CP002"/>
    <s v="多功能一体机 PrintMaster 300"/>
    <n v="3599"/>
    <n v="4"/>
    <n v="4"/>
    <n v="1"/>
    <n v="14396"/>
    <x v="119"/>
    <x v="2"/>
    <n v="14396"/>
  </r>
  <r>
    <x v="187"/>
    <x v="138"/>
    <s v="2026-08-10"/>
    <s v="KH019"/>
    <x v="3"/>
    <s v="北京中关新材"/>
    <s v="KH019"/>
    <s v="KH019"/>
    <x v="124"/>
    <s v="0187"/>
    <s v="B"/>
    <x v="4"/>
    <s v="华北"/>
    <x v="3"/>
    <s v="CP012"/>
    <s v="云存储服务（1TB/年）"/>
    <n v="599"/>
    <n v="37"/>
    <n v="37"/>
    <n v="0.95"/>
    <n v="22163"/>
    <x v="37"/>
    <x v="1"/>
    <n v="21054.85"/>
  </r>
  <r>
    <x v="188"/>
    <x v="139"/>
    <s v="2026-08-11"/>
    <s v="KH003"/>
    <x v="0"/>
    <s v="广州启航教育"/>
    <s v="KH003"/>
    <s v="KH003"/>
    <x v="125"/>
    <s v="0188"/>
    <s v="A"/>
    <x v="4"/>
    <s v="华南区"/>
    <x v="0"/>
    <s v="CP001"/>
    <s v="激光打印机 ProLaser 200"/>
    <n v="2499"/>
    <n v="8"/>
    <n v="8"/>
    <n v="1"/>
    <n v="19992"/>
    <x v="117"/>
    <x v="3"/>
    <n v="19992"/>
  </r>
  <r>
    <x v="189"/>
    <x v="140"/>
    <s v="2026-08-13"/>
    <s v="KH001"/>
    <x v="9"/>
    <s v="北京华信科技"/>
    <s v="KH001"/>
    <s v="KH001"/>
    <x v="126"/>
    <s v="0189"/>
    <s v="A"/>
    <x v="0"/>
    <s v="华北"/>
    <x v="3"/>
    <s v="CP008"/>
    <s v="A4复印纸（5包/箱）"/>
    <n v="128"/>
    <n v="67"/>
    <n v="67"/>
    <n v="0.9"/>
    <n v="8576"/>
    <x v="143"/>
    <x v="2"/>
    <n v="7718.4000000000005"/>
  </r>
  <r>
    <x v="190"/>
    <x v="141"/>
    <s v="2026-08-13"/>
    <s v="KH002"/>
    <x v="1"/>
    <s v="上海锦程贸易"/>
    <s v="KH002"/>
    <s v="KH002"/>
    <x v="126"/>
    <s v="0190"/>
    <s v="B"/>
    <x v="4"/>
    <s v="华东"/>
    <x v="1"/>
    <s v="CP001"/>
    <s v="激光打印机 ProLaser 200"/>
    <n v="2499"/>
    <n v="3"/>
    <n v="3"/>
    <n v="1"/>
    <n v="6747.3"/>
    <x v="124"/>
    <x v="1"/>
    <n v="7497"/>
  </r>
  <r>
    <x v="191"/>
    <x v="142"/>
    <s v="2026-08-14"/>
    <s v="KH005"/>
    <x v="6"/>
    <s v="杭州云图信息"/>
    <s v="KH005"/>
    <s v="KH005"/>
    <x v="127"/>
    <s v="0191"/>
    <s v="A"/>
    <x v="4"/>
    <s v="华东区"/>
    <x v="1"/>
    <s v="CP008"/>
    <s v="A4复印纸（5包/箱）"/>
    <n v="128"/>
    <n v="41"/>
    <n v="41"/>
    <n v="0.95"/>
    <n v="5248"/>
    <x v="144"/>
    <x v="2"/>
    <n v="4985.5999999999995"/>
  </r>
  <r>
    <x v="192"/>
    <x v="143"/>
    <s v="2026-08-15"/>
    <s v="KH019"/>
    <x v="3"/>
    <s v="北京中关新材"/>
    <s v="KH019"/>
    <s v="KH019"/>
    <x v="128"/>
    <s v="0192"/>
    <s v="B"/>
    <x v="2"/>
    <s v="华北区"/>
    <x v="3"/>
    <s v="CP001"/>
    <s v="激光打印机 ProLaser 200"/>
    <n v="2499"/>
    <n v="3"/>
    <n v="3"/>
    <n v="1"/>
    <n v="7497"/>
    <x v="124"/>
    <x v="2"/>
    <n v="7497"/>
  </r>
  <r>
    <x v="193"/>
    <x v="143"/>
    <s v="2026-08-15"/>
    <s v="KH015"/>
    <x v="17"/>
    <s v="佛山美的家电商贸"/>
    <s v="KH015"/>
    <s v="KH015"/>
    <x v="128"/>
    <s v="0193"/>
    <s v="A"/>
    <x v="6"/>
    <s v="华南 "/>
    <x v="0"/>
    <s v="CP010"/>
    <s v="签字笔盒装（12支）"/>
    <n v="45"/>
    <n v="98"/>
    <n v="98"/>
    <n v="0.9"/>
    <n v="4410"/>
    <x v="145"/>
    <x v="2"/>
    <n v="3969"/>
  </r>
  <r>
    <x v="194"/>
    <x v="143"/>
    <s v="2026-08-15"/>
    <s v="KH015"/>
    <x v="17"/>
    <s v="佛山美的家电商贸"/>
    <s v="KH015"/>
    <s v="KH015"/>
    <x v="128"/>
    <s v="0194"/>
    <s v="A"/>
    <x v="1"/>
    <s v="华南"/>
    <x v="0"/>
    <s v="CP007"/>
    <s v="无线键鼠套装 KeyFree 2.0"/>
    <n v="299"/>
    <n v="11"/>
    <n v="11"/>
    <n v="0.95"/>
    <n v="3289"/>
    <x v="146"/>
    <x v="2"/>
    <n v="3124.5499999999997"/>
  </r>
  <r>
    <x v="195"/>
    <x v="143"/>
    <s v="2026-08-15"/>
    <s v="KH012"/>
    <x v="2"/>
    <s v="长沙麓山科技"/>
    <s v="KH012"/>
    <s v="KH012"/>
    <x v="128"/>
    <s v="0195"/>
    <s v="B"/>
    <x v="2"/>
    <s v="华中"/>
    <x v="2"/>
    <s v="CP006"/>
    <s v="显示器 ViewMax 27"/>
    <n v="1299"/>
    <n v="10"/>
    <n v="10"/>
    <n v="0.95"/>
    <n v="12990"/>
    <x v="74"/>
    <x v="2"/>
    <n v="12340.5"/>
  </r>
  <r>
    <x v="196"/>
    <x v="144"/>
    <s v="2026-08-17"/>
    <s v="KH010"/>
    <x v="12"/>
    <s v="苏州创智科技"/>
    <s v="KH010"/>
    <s v="KH010"/>
    <x v="129"/>
    <s v="0197"/>
    <s v="A"/>
    <x v="2"/>
    <s v="华东"/>
    <x v="1"/>
    <s v="CP005"/>
    <s v="台式电脑 PowerDesk 500"/>
    <n v="4299"/>
    <n v="8"/>
    <n v="8"/>
    <n v="1"/>
    <n v="34392"/>
    <x v="66"/>
    <x v="2"/>
    <n v="34392"/>
  </r>
  <r>
    <x v="197"/>
    <x v="144"/>
    <s v="2026-08-17"/>
    <s v="KH017"/>
    <x v="4"/>
    <s v="郑州中原物流"/>
    <s v="KH017"/>
    <s v="KH017"/>
    <x v="129"/>
    <s v="0198"/>
    <s v="B"/>
    <x v="0"/>
    <s v="华中区"/>
    <x v="2"/>
    <s v="CP005"/>
    <s v="台式电脑 PowerDesk 500"/>
    <n v="4299"/>
    <n v="12"/>
    <n v="12"/>
    <n v="0.95"/>
    <n v="51588"/>
    <x v="147"/>
    <x v="2"/>
    <n v="49008.6"/>
  </r>
  <r>
    <x v="198"/>
    <x v="145"/>
    <s v="2026-08-18"/>
    <s v="KH016"/>
    <x v="10"/>
    <s v="昆明滇池科技"/>
    <s v="KH016"/>
    <s v="KH016"/>
    <x v="130"/>
    <s v="0199"/>
    <s v="C"/>
    <x v="2"/>
    <s v="西南"/>
    <x v="4"/>
    <s v="CP006"/>
    <s v="显示器 ViewMax 27"/>
    <n v="1299"/>
    <n v="5"/>
    <n v="5"/>
    <n v="1"/>
    <n v="6495"/>
    <x v="104"/>
    <x v="2"/>
    <n v="6495"/>
  </r>
  <r>
    <x v="199"/>
    <x v="146"/>
    <s v="2026-08-20"/>
    <s v="KH012"/>
    <x v="2"/>
    <s v="长沙麓山科技"/>
    <s v="KH012"/>
    <s v="KH012"/>
    <x v="131"/>
    <s v="0200"/>
    <s v="B"/>
    <x v="5"/>
    <s v="华中 "/>
    <x v="2"/>
    <s v="CP001"/>
    <s v="激光打印机 ProLaser 200"/>
    <n v="2499"/>
    <n v="4"/>
    <n v="4"/>
    <n v="1"/>
    <s v="¥9,996.00"/>
    <x v="13"/>
    <x v="1"/>
    <n v="9996"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  <r>
    <x v="200"/>
    <x v="147"/>
    <m/>
    <m/>
    <x v="20"/>
    <m/>
    <m/>
    <m/>
    <x v="132"/>
    <m/>
    <m/>
    <x v="8"/>
    <m/>
    <x v="5"/>
    <m/>
    <m/>
    <m/>
    <m/>
    <m/>
    <m/>
    <m/>
    <x v="148"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KH003"/>
    <s v="广州启航教育"/>
    <s v="广州启航教育"/>
    <s v="KH003"/>
    <x v="0"/>
    <d v="2026-01-01T00:00:00"/>
    <s v="0001"/>
    <x v="0"/>
    <s v="孙悦"/>
    <s v=" 华南"/>
    <s v="华南"/>
    <s v="CP011"/>
    <s v="办公软件年费授权"/>
    <n v="699"/>
    <m/>
    <n v="11"/>
    <n v="0.95"/>
    <n v="7689"/>
    <n v="7689"/>
    <s v="已取消"/>
    <n v="7304.5499999999993"/>
  </r>
  <r>
    <s v="KH002"/>
    <s v="上海锦程贸易"/>
    <s v="上海锦程贸易"/>
    <s v="KH002"/>
    <x v="1"/>
    <d v="2026-01-03T00:00:00"/>
    <s v="0002"/>
    <x v="1"/>
    <s v="李娜"/>
    <s v="华东"/>
    <s v="华东"/>
    <s v="CP007"/>
    <s v="无线键鼠套装 KeyFree 2.0"/>
    <n v="299"/>
    <n v="9"/>
    <n v="9"/>
    <n v="1"/>
    <n v="2691"/>
    <n v="2691"/>
    <s v="已发货"/>
    <n v="2691"/>
  </r>
  <r>
    <s v="KH003"/>
    <s v="广州启航教育"/>
    <s v="广州启航教育"/>
    <s v="KH003"/>
    <x v="2"/>
    <d v="2026-01-03T00:00:00"/>
    <s v="0003"/>
    <x v="0"/>
    <s v="陈静"/>
    <s v="华南"/>
    <s v="华南"/>
    <s v="CP003"/>
    <s v="碎纸机 SafeCut S8"/>
    <n v="899"/>
    <s v="1"/>
    <n v="1"/>
    <n v="1"/>
    <n v="899"/>
    <n v="899"/>
    <s v="已发货"/>
    <n v="899"/>
  </r>
  <r>
    <s v="KH012"/>
    <s v="长沙麓山科技"/>
    <s v="长沙麓山科技"/>
    <s v="KH012"/>
    <x v="2"/>
    <d v="2026-01-07T00:00:00"/>
    <s v="0004"/>
    <x v="1"/>
    <s v="孙悦"/>
    <s v="华中区"/>
    <s v="华中"/>
    <s v="CP003"/>
    <s v="碎纸机 SafeCut S8"/>
    <n v="899"/>
    <n v="6"/>
    <n v="6"/>
    <n v="1"/>
    <n v="5394"/>
    <n v="5394"/>
    <s v="已发货"/>
    <n v="5394"/>
  </r>
  <r>
    <s v="KH019"/>
    <s v="北京中关新材"/>
    <s v="北京中关新材"/>
    <s v="KH019"/>
    <x v="3"/>
    <d v="2026-01-07T00:00:00"/>
    <s v="0005"/>
    <x v="1"/>
    <s v="王强"/>
    <s v="华北"/>
    <s v="华北"/>
    <s v="CP008"/>
    <s v="A4复印纸（5包/箱）"/>
    <n v="128"/>
    <n v="70"/>
    <n v="70"/>
    <n v="0.9"/>
    <n v="8960"/>
    <n v="8960"/>
    <s v="已取消"/>
    <n v="8064"/>
  </r>
  <r>
    <s v="KH017"/>
    <s v="郑州中原物流"/>
    <s v="郑州中原物流"/>
    <s v="KH017"/>
    <x v="3"/>
    <d v="2026-01-09T00:00:00"/>
    <s v="0006"/>
    <x v="1"/>
    <s v="赵磊"/>
    <s v="华中"/>
    <s v="华中"/>
    <s v="CP008"/>
    <s v="A4复印纸（5包/箱）"/>
    <n v="128"/>
    <s v="20"/>
    <n v="20"/>
    <n v="0.95"/>
    <n v="2560"/>
    <n v="2560"/>
    <s v="已发货"/>
    <n v="2432"/>
  </r>
  <r>
    <s v="KH019"/>
    <s v="北京中关新材"/>
    <s v="北京中关新材"/>
    <s v="KH019"/>
    <x v="3"/>
    <d v="2026-01-09T00:00:00"/>
    <s v="0007"/>
    <x v="1"/>
    <s v="陈静"/>
    <s v="华北"/>
    <s v="华北"/>
    <s v="CP010"/>
    <s v="签字笔盒装（12支）"/>
    <n v="45"/>
    <n v="85"/>
    <n v="85"/>
    <n v="0.9"/>
    <n v="3825"/>
    <n v="3825"/>
    <s v="已完成"/>
    <n v="3442.5"/>
  </r>
  <r>
    <s v="KH007"/>
    <s v="武汉长江实业"/>
    <s v="武汉长江实业"/>
    <s v="KH007"/>
    <x v="2"/>
    <d v="2026-01-13T00:00:00"/>
    <s v="0008"/>
    <x v="1"/>
    <s v="赵磊"/>
    <s v="华中"/>
    <s v="华中"/>
    <s v="CP003"/>
    <s v="碎纸机 SafeCut S8"/>
    <n v="899"/>
    <n v="4"/>
    <n v="4"/>
    <n v="1"/>
    <n v="3596"/>
    <n v="3596"/>
    <s v="已完成"/>
    <n v="3596"/>
  </r>
  <r>
    <s v="KH002"/>
    <s v="上海锦程贸易"/>
    <s v="上海锦程贸易"/>
    <s v="KH002"/>
    <x v="0"/>
    <d v="2026-01-17T00:00:00"/>
    <s v="0009"/>
    <x v="1"/>
    <s v="杨帆"/>
    <s v="华东"/>
    <s v="华东"/>
    <s v="CP011"/>
    <s v="办公软件年费授权"/>
    <n v="699"/>
    <n v="5"/>
    <n v="5"/>
    <n v="1"/>
    <n v="3495"/>
    <n v="3495"/>
    <s v="已发货"/>
    <n v="3495"/>
  </r>
  <r>
    <s v="KH019"/>
    <s v="北京中关新材"/>
    <s v="北京中关新材"/>
    <s v="KH019"/>
    <x v="0"/>
    <d v="2026-01-20T00:00:00"/>
    <s v="0010"/>
    <x v="1"/>
    <s v="孙悦"/>
    <s v="华北"/>
    <s v="华北"/>
    <s v="CP012"/>
    <s v="云存储服务（1TB/年） "/>
    <n v="599"/>
    <n v="3"/>
    <n v="3"/>
    <n v="1"/>
    <n v="1797"/>
    <n v="1797"/>
    <s v="已完成"/>
    <n v="1797"/>
  </r>
  <r>
    <s v="KH005"/>
    <s v="杭州云图信息"/>
    <s v="杭州云图信息"/>
    <s v="KH005"/>
    <x v="1"/>
    <d v="2026-01-21T00:00:00"/>
    <s v="0011"/>
    <x v="0"/>
    <s v="孙悦"/>
    <s v="华东"/>
    <s v="华东"/>
    <s v="CP006"/>
    <s v="显示器 ViewMax 27"/>
    <n v="1299"/>
    <n v="2"/>
    <n v="2"/>
    <n v="1"/>
    <n v="2598"/>
    <n v="2598"/>
    <s v="已取消"/>
    <n v="2598"/>
  </r>
  <r>
    <s v="KH011"/>
    <s v="重庆山城办公设备"/>
    <s v="重庆山城办公设备"/>
    <s v="KH011"/>
    <x v="0"/>
    <d v="2026-01-23T00:00:00"/>
    <s v="0012"/>
    <x v="1"/>
    <s v="刘洋"/>
    <s v="西南"/>
    <s v="西南"/>
    <s v="CP011"/>
    <s v="办公软件年费授权"/>
    <n v="699"/>
    <s v="11"/>
    <n v="11"/>
    <n v="0.95"/>
    <n v="7689"/>
    <n v="7689"/>
    <s v="已完成"/>
    <n v="7304.5499999999993"/>
  </r>
  <r>
    <s v="KH006"/>
    <s v="成都天府商贸"/>
    <s v="成都天府商贸"/>
    <s v="KH006"/>
    <x v="3"/>
    <d v="2026-01-24T00:00:00"/>
    <s v="0013"/>
    <x v="2"/>
    <s v="李娜"/>
    <s v="西南"/>
    <s v="西南"/>
    <s v="CP009"/>
    <s v="激光硒鼓 TonerMax 12A"/>
    <n v="385"/>
    <n v="96"/>
    <n v="96"/>
    <n v="0.9"/>
    <n v="36960"/>
    <n v="36960"/>
    <s v="已完成"/>
    <n v="33264"/>
  </r>
  <r>
    <s v="KH001"/>
    <s v="北京华信科技"/>
    <s v="北京华信科技"/>
    <s v="KH001"/>
    <x v="3"/>
    <d v="2026-01-25T00:00:00"/>
    <s v="0014"/>
    <x v="0"/>
    <s v="张伟"/>
    <s v="华北"/>
    <s v="华北"/>
    <s v="CP009"/>
    <s v="激光硒鼓 TonerMax 12A"/>
    <n v="385"/>
    <s v="32"/>
    <n v="32"/>
    <n v="0.95"/>
    <n v="12320"/>
    <n v="12320"/>
    <s v="已发货"/>
    <n v="11704"/>
  </r>
  <r>
    <s v="KH019"/>
    <s v="北京中关新材"/>
    <s v="北京中关新材"/>
    <s v="KH019"/>
    <x v="2"/>
    <d v="2026-01-26T00:00:00"/>
    <s v="0015"/>
    <x v="1"/>
    <s v="孙悦"/>
    <s v="华北"/>
    <s v="华北"/>
    <s v="CP001"/>
    <s v="激光打印机 ProLaser 200"/>
    <n v="2499"/>
    <m/>
    <n v="4"/>
    <n v="1"/>
    <n v="9996"/>
    <n v="9996"/>
    <s v="已发货"/>
    <n v="9996"/>
  </r>
  <r>
    <s v="KH016"/>
    <s v="昆明滇池科技"/>
    <s v="昆明滇池科技"/>
    <s v="KH016"/>
    <x v="3"/>
    <d v="2026-08-16T00:00:00"/>
    <s v="0196"/>
    <x v="2"/>
    <s v="赵磊"/>
    <s v="西南区"/>
    <s v="西南"/>
    <s v="CP008"/>
    <s v="A4复印纸（5包/箱）"/>
    <n v="128"/>
    <n v="77"/>
    <n v="77"/>
    <n v="0.9"/>
    <n v="9856"/>
    <n v="9856"/>
    <s v="已完成"/>
    <n v="8870.4"/>
  </r>
  <r>
    <s v="KH017"/>
    <s v="郑州中原物流"/>
    <s v="郑州中原物流"/>
    <s v="KH017"/>
    <x v="2"/>
    <d v="2026-01-26T00:00:00"/>
    <s v="0016"/>
    <x v="1"/>
    <s v="王强"/>
    <s v="华中区"/>
    <s v="华中"/>
    <s v="CP003"/>
    <s v="碎纸机 SafeCut S8"/>
    <n v="899"/>
    <n v="4"/>
    <n v="4"/>
    <n v="1"/>
    <n v="3596"/>
    <n v="3596"/>
    <s v="已完成"/>
    <n v="3596"/>
  </r>
  <r>
    <s v="KH017"/>
    <s v="郑州中原物流"/>
    <s v="郑州中原物流"/>
    <s v="KH017"/>
    <x v="1"/>
    <d v="2026-01-27T00:00:00"/>
    <s v="0017"/>
    <x v="1"/>
    <s v="赵磊"/>
    <s v="华中"/>
    <s v="华中"/>
    <s v="CP007"/>
    <s v="无线键鼠套装 KeyFree 2.0"/>
    <n v="299"/>
    <n v="7"/>
    <n v="7"/>
    <n v="1"/>
    <n v="2093"/>
    <n v="2093"/>
    <s v="待付款"/>
    <n v="2093"/>
  </r>
  <r>
    <s v="KH007"/>
    <s v="武汉长江实业"/>
    <s v="武汉长江实业"/>
    <s v="KH007"/>
    <x v="1"/>
    <d v="2026-01-27T00:00:00"/>
    <s v="0018"/>
    <x v="1"/>
    <s v="陈静"/>
    <s v="华中"/>
    <s v="华中"/>
    <s v="CP004"/>
    <s v="笔记本电脑 TechBook 14 "/>
    <n v="5699"/>
    <n v="3"/>
    <n v="3"/>
    <n v="1"/>
    <n v="17097"/>
    <n v="17097"/>
    <s v="已完成"/>
    <n v="17097"/>
  </r>
  <r>
    <s v="KH020"/>
    <s v="合肥科大国创"/>
    <s v="合肥科大国创"/>
    <s v="KH020"/>
    <x v="0"/>
    <d v="2026-01-29T00:00:00"/>
    <s v="0019"/>
    <x v="2"/>
    <s v="孙悦"/>
    <s v="华东"/>
    <s v="华东"/>
    <s v="CP011"/>
    <s v="办公软件年费授权 "/>
    <n v="699"/>
    <n v="20"/>
    <n v="20"/>
    <n v="0.95"/>
    <n v="13980"/>
    <n v="13980"/>
    <s v="已完成"/>
    <n v="13281"/>
  </r>
  <r>
    <s v="KH010"/>
    <s v="苏州创智科技"/>
    <s v="苏州创智科技"/>
    <s v="KH010"/>
    <x v="1"/>
    <d v="2026-01-30T00:00:00"/>
    <s v="0020"/>
    <x v="0"/>
    <s v="陈静"/>
    <s v="华东"/>
    <s v="华东"/>
    <s v="CP007"/>
    <s v="无线键鼠套装 KeyFree 2.0"/>
    <n v="299"/>
    <n v="9"/>
    <n v="9"/>
    <n v="1"/>
    <s v="¥2,691.00"/>
    <n v="2691"/>
    <s v="待付款"/>
    <n v="2691"/>
  </r>
  <r>
    <s v="KH017"/>
    <s v="郑州中原物流"/>
    <s v="郑州中原物流"/>
    <s v="KH017"/>
    <x v="1"/>
    <d v="2026-01-31T00:00:00"/>
    <s v="0021"/>
    <x v="1"/>
    <s v="孙悦"/>
    <s v="华中"/>
    <s v="华中"/>
    <s v="CP004"/>
    <s v="笔记本电脑 TechBook 14"/>
    <n v="5699"/>
    <n v="2"/>
    <n v="2"/>
    <n v="1"/>
    <n v="11398"/>
    <n v="11398"/>
    <s v="已发货"/>
    <n v="11398"/>
  </r>
  <r>
    <s v="KH007"/>
    <s v="武汉长江实业"/>
    <s v="武汉长江实业"/>
    <s v="KH007"/>
    <x v="3"/>
    <d v="2026-02-01T00:00:00"/>
    <s v="0022"/>
    <x v="1"/>
    <s v="王强"/>
    <s v="华中"/>
    <s v="华中"/>
    <s v="CP010"/>
    <s v="签字笔盒装（12支）"/>
    <n v="45"/>
    <n v="118"/>
    <n v="118"/>
    <n v="0.85"/>
    <n v="5310"/>
    <n v="5310"/>
    <s v="已取消"/>
    <n v="4513.5"/>
  </r>
  <r>
    <s v="KH006"/>
    <s v="成都天府商贸"/>
    <s v="成都天府商贸"/>
    <s v="KH006"/>
    <x v="2"/>
    <d v="2026-02-03T00:00:00"/>
    <s v="0023"/>
    <x v="2"/>
    <s v="李娜"/>
    <s v="西南"/>
    <s v="西南"/>
    <s v="CP003"/>
    <s v="碎纸机 SafeCut S8"/>
    <n v="899"/>
    <n v="4"/>
    <n v="4"/>
    <n v="1"/>
    <n v="3596"/>
    <n v="3596"/>
    <s v="已发货"/>
    <n v="3596"/>
  </r>
  <r>
    <s v="KH005"/>
    <s v="杭州云图信息"/>
    <s v="杭州云图信息"/>
    <s v="KH005"/>
    <x v="3"/>
    <d v="2026-02-06T00:00:00"/>
    <s v="0024"/>
    <x v="0"/>
    <s v="刘洋"/>
    <s v="华东"/>
    <s v="华东"/>
    <s v="CP010"/>
    <s v="签字笔盒装（12支）"/>
    <n v="45"/>
    <n v="103"/>
    <n v="103"/>
    <n v="0.85"/>
    <n v="4635"/>
    <n v="4635"/>
    <s v="已完成"/>
    <n v="3939.75"/>
  </r>
  <r>
    <s v="KH009"/>
    <s v="天津海河传媒"/>
    <s v="天津海河传媒"/>
    <s v="KH009"/>
    <x v="3"/>
    <d v="2026-07-03T00:00:00"/>
    <s v="0152"/>
    <x v="2"/>
    <s v="杨帆"/>
    <s v="华北区"/>
    <s v="华北"/>
    <s v="CP009"/>
    <s v="激光硒鼓 TonerMax 12A"/>
    <n v="385"/>
    <n v="97"/>
    <n v="97"/>
    <n v="0.9"/>
    <n v="37345"/>
    <n v="37345"/>
    <s v="已完成"/>
    <n v="33610.5"/>
  </r>
  <r>
    <s v="KH011"/>
    <s v="重庆山城办公设备"/>
    <s v="重庆山城办公设备"/>
    <s v="KH011"/>
    <x v="3"/>
    <d v="2026-02-06T00:00:00"/>
    <s v="0025"/>
    <x v="1"/>
    <s v="李娜"/>
    <s v="西南"/>
    <s v="西南"/>
    <s v="CP009"/>
    <s v="激光硒鼓 TonerMax 12A"/>
    <n v="385"/>
    <n v="26"/>
    <n v="26"/>
    <n v="0.95"/>
    <n v="10010"/>
    <n v="10010"/>
    <s v="待付款"/>
    <n v="9509.5"/>
  </r>
  <r>
    <s v="KH002"/>
    <s v="上海锦程贸易"/>
    <s v="上海锦程贸易"/>
    <s v="KH002"/>
    <x v="1"/>
    <d v="2026-02-08T00:00:00"/>
    <s v="0026"/>
    <x v="1"/>
    <s v="张伟"/>
    <s v="华东"/>
    <s v="华东"/>
    <s v="CP007"/>
    <s v="无线键鼠套装 KeyFree 2.0"/>
    <n v="299"/>
    <n v="2"/>
    <n v="2"/>
    <n v="1"/>
    <n v="598"/>
    <n v="598"/>
    <s v="已发货"/>
    <n v="598"/>
  </r>
  <r>
    <s v="KH014"/>
    <s v="宁波海港实业"/>
    <s v="宁波海港实业"/>
    <s v="KH014"/>
    <x v="1"/>
    <d v="2026-02-16T00:00:00"/>
    <s v="0027"/>
    <x v="1"/>
    <s v="李娜"/>
    <s v="华东区"/>
    <s v="华东"/>
    <s v="CP004"/>
    <s v="笔记本电脑 TechBook 14"/>
    <n v="5699"/>
    <n v="11"/>
    <n v="11"/>
    <n v="0.95"/>
    <s v="¥62,689.00"/>
    <n v="62689"/>
    <s v="已完成"/>
    <n v="59554.549999999996"/>
  </r>
  <r>
    <s v="KH005"/>
    <s v="杭州云图信息"/>
    <s v="杭州云图信息"/>
    <s v="KH005"/>
    <x v="0"/>
    <d v="2026-02-21T00:00:00"/>
    <s v="0028"/>
    <x v="0"/>
    <s v="杨帆"/>
    <s v="华东"/>
    <s v="华东"/>
    <s v="CP011"/>
    <s v="办公软件年费授权"/>
    <n v="699"/>
    <n v="20"/>
    <n v="20"/>
    <n v="0.95"/>
    <n v="13980"/>
    <n v="13980"/>
    <s v="已完成"/>
    <n v="13281"/>
  </r>
  <r>
    <s v="KH005"/>
    <s v="杭州云图信息"/>
    <s v="杭州云图信息"/>
    <s v="KH005"/>
    <x v="2"/>
    <d v="2026-02-21T00:00:00"/>
    <s v="0029"/>
    <x v="0"/>
    <s v="赵磊"/>
    <s v="华东"/>
    <s v="华东"/>
    <s v="CP001"/>
    <s v="激光打印机 ProLaser 200"/>
    <n v="2499"/>
    <n v="5"/>
    <n v="5"/>
    <n v="1"/>
    <n v="12495"/>
    <n v="12495"/>
    <s v="已取消"/>
    <n v="12495"/>
  </r>
  <r>
    <s v="KH014"/>
    <s v="宁波海港实业"/>
    <s v="宁波海港实业"/>
    <s v="KH014"/>
    <x v="1"/>
    <d v="2026-05-12T00:00:00"/>
    <s v="0102"/>
    <x v="1"/>
    <s v="王强"/>
    <s v="华东"/>
    <s v="华东"/>
    <s v="CP004"/>
    <s v="笔记本电脑 TechBook 14"/>
    <n v="5699"/>
    <n v="13"/>
    <n v="13"/>
    <n v="0.95"/>
    <n v="74087"/>
    <n v="74087"/>
    <s v="已发货"/>
    <n v="70382.649999999994"/>
  </r>
  <r>
    <s v="KH001"/>
    <s v="北京华信科技"/>
    <s v="北京华信科技"/>
    <s v="KH001"/>
    <x v="1"/>
    <d v="2026-02-23T00:00:00"/>
    <s v="0030"/>
    <x v="0"/>
    <s v="李娜"/>
    <s v="华北"/>
    <s v="华北"/>
    <s v="CP004"/>
    <s v="笔记本电脑 TechBook 14"/>
    <n v="5699"/>
    <s v="5"/>
    <n v="5"/>
    <n v="1"/>
    <n v="28495"/>
    <n v="28495"/>
    <s v="已完成"/>
    <n v="28495"/>
  </r>
  <r>
    <s v="KH011"/>
    <s v="重庆山城办公设备"/>
    <s v="重庆山城办公设备"/>
    <s v="KH011"/>
    <x v="0"/>
    <d v="2026-02-27T00:00:00"/>
    <s v="0031"/>
    <x v="1"/>
    <s v="杨帆"/>
    <s v="西南"/>
    <s v="西南"/>
    <s v="CP012"/>
    <s v="云存储服务（1TB/年）"/>
    <n v="599"/>
    <n v="24"/>
    <n v="24"/>
    <n v="0.95"/>
    <n v="14376"/>
    <n v="14376"/>
    <s v="已发货"/>
    <n v="13657.199999999999"/>
  </r>
  <r>
    <s v="KH008"/>
    <s v="南京紫金山软件园运营"/>
    <s v="南京紫金山软件园运营"/>
    <s v="KH008"/>
    <x v="3"/>
    <d v="2026-03-08T00:00:00"/>
    <s v="0037"/>
    <x v="2"/>
    <s v="杨帆"/>
    <s v="华东"/>
    <s v="华东"/>
    <s v="CP008"/>
    <s v="A4复印纸（5包/箱）"/>
    <n v="128"/>
    <n v="12"/>
    <n v="12"/>
    <n v="0.95"/>
    <n v="1536"/>
    <n v="1536"/>
    <s v="已完成"/>
    <n v="1459.1999999999998"/>
  </r>
  <r>
    <s v="KH012"/>
    <s v="长沙麓山科技"/>
    <s v="长沙麓山科技"/>
    <s v="KH012"/>
    <x v="3"/>
    <d v="2026-02-27T00:00:00"/>
    <s v="0032"/>
    <x v="1"/>
    <s v="张伟"/>
    <s v="华中"/>
    <s v="华中"/>
    <s v="CP009"/>
    <s v="激光硒鼓 TonerMax 12A"/>
    <n v="385"/>
    <n v="88"/>
    <n v="88"/>
    <n v="0.9"/>
    <n v="33880"/>
    <n v="33880"/>
    <s v="已取消"/>
    <n v="30492"/>
  </r>
  <r>
    <s v="KH005"/>
    <s v="杭州云图信息"/>
    <s v="杭州云图信息"/>
    <s v="KH005"/>
    <x v="1"/>
    <d v="2026-02-28T00:00:00"/>
    <s v="0033"/>
    <x v="0"/>
    <s v="赵磊"/>
    <s v="华东区"/>
    <s v="华东"/>
    <s v="CP004"/>
    <s v="笔记本电脑 TechBook 14"/>
    <n v="5699"/>
    <n v="8"/>
    <n v="8"/>
    <n v="1"/>
    <s v="¥45,592.00"/>
    <n v="45592"/>
    <s v="已取消"/>
    <n v="45592"/>
  </r>
  <r>
    <s v="KH017"/>
    <s v="郑州中原物流"/>
    <s v="郑州中原物流"/>
    <s v="KH017"/>
    <x v="3"/>
    <d v="2026-03-03T00:00:00"/>
    <s v="0034"/>
    <x v="1"/>
    <s v="陈静"/>
    <s v="华中"/>
    <s v="华中"/>
    <s v="CP009"/>
    <s v="激光硒鼓 TonerMax 12A"/>
    <n v="385"/>
    <n v="120"/>
    <n v="120"/>
    <n v="0.85"/>
    <n v="46200"/>
    <n v="46200"/>
    <s v="已完成"/>
    <n v="39270"/>
  </r>
  <r>
    <s v="KH019"/>
    <s v="北京中关新材"/>
    <s v="北京中关新材"/>
    <s v="KH019"/>
    <x v="1"/>
    <d v="2026-03-06T00:00:00"/>
    <s v="0035"/>
    <x v="1"/>
    <s v="赵磊"/>
    <s v="华北"/>
    <s v="华北"/>
    <s v="CP006"/>
    <s v="显示器 ViewMax 27"/>
    <n v="1299"/>
    <n v="12"/>
    <n v="12"/>
    <n v="0.95"/>
    <n v="15588"/>
    <n v="15588"/>
    <s v="待付款"/>
    <n v="14808.599999999999"/>
  </r>
  <r>
    <s v="KH005"/>
    <s v="杭州云图信息"/>
    <s v="杭州云图信息"/>
    <s v="KH005"/>
    <x v="1"/>
    <d v="2026-03-06T00:00:00"/>
    <s v="0036"/>
    <x v="0"/>
    <s v="李娜"/>
    <s v="华东"/>
    <s v="华东"/>
    <s v="CP006"/>
    <s v="显示器 ViewMax 27"/>
    <n v="1299"/>
    <n v="12"/>
    <n v="12"/>
    <n v="0.95"/>
    <n v="15588"/>
    <n v="15588"/>
    <s v="已完成"/>
    <n v="14808.599999999999"/>
  </r>
  <r>
    <s v="KH001"/>
    <s v="北京华信科技"/>
    <s v="北京华信科技"/>
    <s v="KH001"/>
    <x v="0"/>
    <d v="2026-03-08T00:00:00"/>
    <s v="0038"/>
    <x v="0"/>
    <s v="李娜"/>
    <s v="华北"/>
    <s v="华北"/>
    <s v="CP012"/>
    <s v="云存储服务（1TB/年）"/>
    <n v="599"/>
    <n v="12"/>
    <n v="12"/>
    <n v="0.95"/>
    <n v="7188"/>
    <n v="7188"/>
    <s v="已完成"/>
    <n v="6828.5999999999995"/>
  </r>
  <r>
    <s v="KH002"/>
    <s v="上海锦程贸易"/>
    <s v="上海锦程贸易"/>
    <s v="KH002"/>
    <x v="1"/>
    <d v="2026-03-08T00:00:00"/>
    <s v="0039"/>
    <x v="1"/>
    <s v="陈静"/>
    <s v="华东"/>
    <s v="华东"/>
    <s v="CP006"/>
    <s v="显示器 ViewMax 27"/>
    <n v="1299"/>
    <n v="11"/>
    <n v="11"/>
    <n v="0.95"/>
    <n v="14289"/>
    <n v="14289"/>
    <s v="已完成"/>
    <n v="13574.55"/>
  </r>
  <r>
    <s v="KH011"/>
    <s v="重庆山城办公设备"/>
    <s v="重庆山城办公设备"/>
    <s v="KH011"/>
    <x v="1"/>
    <d v="2026-03-10T00:00:00"/>
    <s v="0040"/>
    <x v="1"/>
    <s v="赵磊"/>
    <s v="西南"/>
    <s v="西南"/>
    <s v="CP006"/>
    <s v="显示器 ViewMax 27"/>
    <n v="1299"/>
    <n v="7"/>
    <n v="7"/>
    <n v="1"/>
    <n v="9093"/>
    <n v="9093"/>
    <s v="已完成"/>
    <n v="9093"/>
  </r>
  <r>
    <s v="KH008"/>
    <s v="南京紫金山软件园运营"/>
    <s v="南京紫金山软件园运营"/>
    <s v="KH008"/>
    <x v="1"/>
    <d v="2026-03-10T00:00:00"/>
    <s v="0041"/>
    <x v="2"/>
    <s v="王强"/>
    <s v="华东"/>
    <s v="华东"/>
    <s v="CP004"/>
    <s v="笔记本电脑 TechBook 14"/>
    <n v="5699"/>
    <n v="3"/>
    <n v="3"/>
    <n v="1"/>
    <n v="17097"/>
    <n v="17097"/>
    <s v="已完成"/>
    <n v="17097"/>
  </r>
  <r>
    <s v="KH013"/>
    <s v="石家庄振华商贸"/>
    <s v="石家庄振华商贸"/>
    <s v="KH013"/>
    <x v="0"/>
    <d v="2026-03-15T00:00:00"/>
    <s v="0042"/>
    <x v="2"/>
    <s v="赵磊"/>
    <s v="华北"/>
    <s v="华北"/>
    <s v="CP012"/>
    <s v="云存储服务（1TB/年）"/>
    <n v="599"/>
    <n v="37"/>
    <n v="37"/>
    <n v="0.95"/>
    <n v="22163"/>
    <n v="22163"/>
    <s v="待付款"/>
    <n v="21054.85"/>
  </r>
  <r>
    <s v="KH015"/>
    <s v="佛山美的家电商贸"/>
    <s v="佛山美的家电商贸"/>
    <s v="KH015"/>
    <x v="1"/>
    <d v="2026-03-15T00:00:00"/>
    <s v="0043"/>
    <x v="0"/>
    <s v="陈静"/>
    <s v="华南"/>
    <s v="华南"/>
    <s v="CP004"/>
    <s v="笔记本电脑 TechBook 14"/>
    <n v="5699"/>
    <n v="1"/>
    <n v="1"/>
    <n v="1"/>
    <n v="5699"/>
    <n v="5699"/>
    <s v="已完成"/>
    <n v="5699"/>
  </r>
  <r>
    <s v="KH008"/>
    <s v="南京紫金山软件园运营"/>
    <s v="南京紫金山软件园运营"/>
    <s v="KH008"/>
    <x v="0"/>
    <d v="2026-03-16T00:00:00"/>
    <s v="0044"/>
    <x v="2"/>
    <s v="李娜"/>
    <s v="华东"/>
    <s v="华东"/>
    <s v="CP012"/>
    <s v="云存储服务（1TB/年）"/>
    <n v="599"/>
    <n v="10"/>
    <n v="10"/>
    <n v="0.95"/>
    <n v="5990"/>
    <n v="5990"/>
    <s v="待付款"/>
    <n v="5690.5"/>
  </r>
  <r>
    <s v="KH010"/>
    <s v="苏州创智科技"/>
    <s v="苏州创智科技"/>
    <s v="KH010"/>
    <x v="3"/>
    <d v="2026-03-16T00:00:00"/>
    <s v="0045"/>
    <x v="0"/>
    <s v="陈静"/>
    <s v="华东"/>
    <s v="华东"/>
    <s v="CP009"/>
    <s v="激光硒鼓 TonerMax 12A"/>
    <n v="385"/>
    <n v="115"/>
    <n v="115"/>
    <n v="0.85"/>
    <n v="44275"/>
    <n v="44275"/>
    <s v="已完成"/>
    <n v="37633.75"/>
  </r>
  <r>
    <s v="KH010"/>
    <s v="苏州创智科技"/>
    <s v="苏州创智科技"/>
    <s v="KH010"/>
    <x v="3"/>
    <d v="2026-03-17T00:00:00"/>
    <s v="0046"/>
    <x v="0"/>
    <s v="张伟"/>
    <s v="华东"/>
    <s v="华东"/>
    <s v="CP010"/>
    <s v="签字笔盒装（12支）"/>
    <n v="45"/>
    <n v="17"/>
    <n v="17"/>
    <n v="0.95"/>
    <s v="¥765.00"/>
    <n v="765"/>
    <s v="已发货"/>
    <n v="726.75"/>
  </r>
  <r>
    <s v="KH004"/>
    <s v="深圳蓝鲸网络"/>
    <s v="深圳蓝鲸网络"/>
    <s v="KH004"/>
    <x v="2"/>
    <d v="2026-03-20T00:00:00"/>
    <s v="0047"/>
    <x v="1"/>
    <s v="王强"/>
    <s v="华南"/>
    <s v="华南"/>
    <s v="CP001"/>
    <s v="激光打印机 ProLaser 200"/>
    <n v="2499"/>
    <n v="4"/>
    <n v="4"/>
    <n v="1"/>
    <n v="9996"/>
    <n v="9996"/>
    <s v="已取消"/>
    <n v="9996"/>
  </r>
  <r>
    <s v="KH018"/>
    <s v="厦门鹭岛文创"/>
    <s v="厦门鹭岛文创"/>
    <s v="KH018"/>
    <x v="1"/>
    <d v="2026-03-21T00:00:00"/>
    <s v="0048"/>
    <x v="2"/>
    <s v="刘洋"/>
    <s v="华南区"/>
    <s v="华南"/>
    <s v="CP007"/>
    <s v="无线键鼠套装 KeyFree 2.0"/>
    <n v="299"/>
    <n v="6"/>
    <n v="6"/>
    <n v="1"/>
    <n v="1794"/>
    <n v="1794"/>
    <s v="已完成"/>
    <n v="1794"/>
  </r>
  <r>
    <s v="KH005"/>
    <s v="杭州云图信息"/>
    <s v="杭州云图信息"/>
    <s v="KH005"/>
    <x v="0"/>
    <d v="2026-03-22T00:00:00"/>
    <s v="0049"/>
    <x v="0"/>
    <s v="杨帆"/>
    <s v="华东"/>
    <s v="华东"/>
    <s v="CP011"/>
    <s v="办公软件年费授权"/>
    <n v="699"/>
    <n v="25"/>
    <n v="25"/>
    <n v="0.95"/>
    <n v="17475"/>
    <n v="17475"/>
    <s v="已完成"/>
    <n v="16601.25"/>
  </r>
  <r>
    <s v="KH009"/>
    <s v="天津海河传媒"/>
    <s v="天津海河传媒"/>
    <s v="KH009"/>
    <x v="0"/>
    <d v="2026-03-23T00:00:00"/>
    <s v="0050"/>
    <x v="2"/>
    <s v="陈静"/>
    <s v="华北"/>
    <s v="华北"/>
    <s v="CP011"/>
    <s v="办公软件年费授权"/>
    <n v="699"/>
    <n v="39"/>
    <n v="39"/>
    <n v="0.95"/>
    <n v="27261"/>
    <n v="27261"/>
    <s v="已完成"/>
    <n v="25897.949999999997"/>
  </r>
  <r>
    <s v="KH012"/>
    <s v="长沙麓山科技"/>
    <s v="长沙麓山科技"/>
    <s v="KH012"/>
    <x v="2"/>
    <d v="2026-03-23T00:00:00"/>
    <s v="0051"/>
    <x v="1"/>
    <s v="杨帆"/>
    <s v="华中"/>
    <s v="华中"/>
    <s v="CP003"/>
    <s v="碎纸机 SafeCut S8"/>
    <n v="899"/>
    <n v="1"/>
    <n v="1"/>
    <n v="1"/>
    <n v="899"/>
    <n v="899"/>
    <s v="待付款"/>
    <n v="899"/>
  </r>
  <r>
    <s v="KH016"/>
    <s v="昆明滇池科技"/>
    <s v="昆明滇池科技"/>
    <s v="KH016"/>
    <x v="3"/>
    <d v="2026-03-29T00:00:00"/>
    <s v="0052"/>
    <x v="2"/>
    <s v="张伟"/>
    <s v="西南"/>
    <s v="西南"/>
    <s v="CP009"/>
    <s v="激光硒鼓 TonerMax 12A"/>
    <n v="385"/>
    <n v="111"/>
    <n v="111"/>
    <n v="0.85"/>
    <n v="42735"/>
    <n v="42735"/>
    <s v="已发货"/>
    <n v="36324.75"/>
  </r>
  <r>
    <s v="KH002"/>
    <s v="上海锦程贸易"/>
    <s v="上海锦程贸易"/>
    <s v="KH002"/>
    <x v="1"/>
    <d v="2026-03-31T00:00:00"/>
    <s v="0053"/>
    <x v="1"/>
    <s v="陈静"/>
    <s v=" 华东"/>
    <s v="华东"/>
    <s v="CP006"/>
    <s v="显示器 ViewMax 27"/>
    <n v="1299"/>
    <m/>
    <n v="12"/>
    <n v="0.95"/>
    <n v="15588"/>
    <n v="15588"/>
    <s v="已完成"/>
    <n v="14808.599999999999"/>
  </r>
  <r>
    <s v="KH015"/>
    <s v="佛山美的家电商贸"/>
    <s v="佛山美的家电商贸"/>
    <s v="KH015"/>
    <x v="0"/>
    <d v="2026-04-02T00:00:00"/>
    <s v="0054"/>
    <x v="0"/>
    <s v="刘洋"/>
    <s v="华南"/>
    <s v="华南"/>
    <s v="CP012"/>
    <s v="云存储服务（1TB/年）"/>
    <n v="599"/>
    <n v="3"/>
    <n v="3"/>
    <n v="1"/>
    <n v="1797"/>
    <n v="1797"/>
    <s v="待付款"/>
    <n v="1797"/>
  </r>
  <r>
    <s v="KH014"/>
    <s v="宁波海港实业"/>
    <s v="宁波海港实业"/>
    <s v="KH014"/>
    <x v="1"/>
    <d v="2026-04-03T00:00:00"/>
    <s v="0055"/>
    <x v="1"/>
    <s v="赵磊"/>
    <s v="华东"/>
    <s v="华东"/>
    <s v="CP006"/>
    <s v="显示器 ViewMax 27"/>
    <n v="1299"/>
    <n v="1"/>
    <n v="1"/>
    <n v="1"/>
    <n v="1299"/>
    <n v="1299"/>
    <s v="已完成"/>
    <n v="1299"/>
  </r>
  <r>
    <s v="KH019"/>
    <s v="北京中关新材"/>
    <s v="北京中关新材"/>
    <s v="KH019"/>
    <x v="3"/>
    <d v="2026-04-04T00:00:00"/>
    <s v="0056"/>
    <x v="1"/>
    <s v="王强"/>
    <s v="华北"/>
    <s v="华北"/>
    <s v="CP008"/>
    <s v="A4复印纸（5包/箱）"/>
    <n v="128"/>
    <m/>
    <n v="92"/>
    <n v="0.9"/>
    <n v="11776"/>
    <n v="11776"/>
    <s v="已取消"/>
    <n v="10598.4"/>
  </r>
  <r>
    <s v="KH002"/>
    <s v="上海锦程贸易"/>
    <s v="上海锦程贸易"/>
    <s v="KH002"/>
    <x v="2"/>
    <d v="2026-04-05T00:00:00"/>
    <s v="0057"/>
    <x v="1"/>
    <s v="杨帆"/>
    <s v="华东"/>
    <s v="华东"/>
    <s v="CP003"/>
    <s v="碎纸机 SafeCut S8 "/>
    <n v="899"/>
    <n v="7"/>
    <n v="7"/>
    <n v="1"/>
    <n v="6293"/>
    <n v="6293"/>
    <s v="已完成"/>
    <n v="6293"/>
  </r>
  <r>
    <s v="KH005"/>
    <s v="杭州云图信息"/>
    <s v="杭州云图信息"/>
    <s v="KH005"/>
    <x v="3"/>
    <d v="2026-04-05T00:00:00"/>
    <s v="0058"/>
    <x v="0"/>
    <s v="刘洋"/>
    <s v="华东"/>
    <s v="华东"/>
    <s v="CP010"/>
    <s v="签字笔盒装（12支）"/>
    <n v="45"/>
    <n v="94"/>
    <n v="94"/>
    <n v="0.9"/>
    <n v="4230"/>
    <n v="4230"/>
    <s v="已完成"/>
    <n v="3807"/>
  </r>
  <r>
    <s v="KH005"/>
    <s v="杭州云图信息"/>
    <s v="杭州云图信息"/>
    <s v="KH005"/>
    <x v="3"/>
    <d v="2026-04-07T00:00:00"/>
    <s v="0059"/>
    <x v="0"/>
    <s v="王强"/>
    <s v="华东"/>
    <s v="华东"/>
    <s v="CP008"/>
    <s v="A4复印纸（5包/箱）"/>
    <n v="128"/>
    <n v="55"/>
    <n v="55"/>
    <n v="0.9"/>
    <s v="¥7,040.00"/>
    <n v="7040"/>
    <s v="已取消"/>
    <n v="6336"/>
  </r>
  <r>
    <s v="KH003"/>
    <s v="广州启航教育"/>
    <s v="广州启航教育"/>
    <s v="KH003"/>
    <x v="3"/>
    <d v="2026-04-12T00:00:00"/>
    <s v="0060"/>
    <x v="0"/>
    <s v="孙悦"/>
    <s v="华南"/>
    <s v="华南"/>
    <s v="CP010"/>
    <s v="签字笔盒装（12支）"/>
    <n v="45"/>
    <n v="11"/>
    <n v="11"/>
    <n v="0.95"/>
    <n v="495"/>
    <n v="495"/>
    <s v="已取消"/>
    <n v="470.25"/>
  </r>
  <r>
    <s v="KH006"/>
    <s v="成都天府商贸"/>
    <s v="成都天府商贸"/>
    <s v="KH006"/>
    <x v="3"/>
    <d v="2026-04-12T00:00:00"/>
    <s v="0061"/>
    <x v="2"/>
    <s v="王强"/>
    <s v="西南"/>
    <s v="西南"/>
    <s v="CP010"/>
    <s v="签字笔盒装（12支）"/>
    <n v="45"/>
    <n v="109"/>
    <n v="109"/>
    <n v="0.85"/>
    <n v="4905"/>
    <n v="4905"/>
    <s v="已发货"/>
    <n v="4169.25"/>
  </r>
  <r>
    <s v="KH001"/>
    <s v="北京华信科技"/>
    <s v="北京华信科技"/>
    <s v="KH001"/>
    <x v="1"/>
    <d v="2026-04-13T00:00:00"/>
    <s v="0062"/>
    <x v="0"/>
    <s v="王强"/>
    <s v="华北"/>
    <s v="华北"/>
    <s v="CP006"/>
    <s v="显示器 ViewMax 27"/>
    <n v="1299"/>
    <n v="3"/>
    <n v="3"/>
    <n v="1"/>
    <n v="3897"/>
    <n v="3897"/>
    <s v="已完成"/>
    <n v="3897"/>
  </r>
  <r>
    <s v="KH002"/>
    <s v="上海锦程贸易"/>
    <s v="上海锦程贸易"/>
    <s v="KH002"/>
    <x v="3"/>
    <d v="2026-04-13T00:00:00"/>
    <s v="0063"/>
    <x v="1"/>
    <s v="张伟"/>
    <s v="华东"/>
    <s v="华东"/>
    <s v="CP009"/>
    <s v="激光硒鼓 TonerMax 12A"/>
    <n v="385"/>
    <n v="100"/>
    <n v="100"/>
    <n v="0.85"/>
    <n v="38500"/>
    <n v="38500"/>
    <s v="待付款"/>
    <n v="32725"/>
  </r>
  <r>
    <s v="KH001"/>
    <s v="北京华信科技"/>
    <s v="北京华信科技"/>
    <s v="KH001"/>
    <x v="1"/>
    <d v="2026-04-13T00:00:00"/>
    <s v="0064"/>
    <x v="0"/>
    <s v="王强"/>
    <s v=" 华北"/>
    <s v="华北"/>
    <s v="CP006"/>
    <s v="显示器 ViewMax 27"/>
    <n v="1299"/>
    <n v="9"/>
    <n v="9"/>
    <n v="1"/>
    <n v="11691"/>
    <n v="11691"/>
    <s v="已发货"/>
    <n v="11691"/>
  </r>
  <r>
    <s v="KH004"/>
    <s v="深圳蓝鲸网络"/>
    <s v="深圳蓝鲸网络"/>
    <s v="KH004"/>
    <x v="2"/>
    <d v="2026-04-18T00:00:00"/>
    <s v="0065"/>
    <x v="1"/>
    <s v="孙悦"/>
    <s v="华南"/>
    <s v="华南"/>
    <s v="CP002"/>
    <s v="多功能一体机 PrintMaster 300"/>
    <n v="3599"/>
    <s v="6"/>
    <n v="6"/>
    <n v="1"/>
    <n v="21594"/>
    <n v="21594"/>
    <s v="已完成"/>
    <n v="21594"/>
  </r>
  <r>
    <s v="KH016"/>
    <s v="昆明滇池科技"/>
    <s v="昆明滇池科技"/>
    <s v="KH016"/>
    <x v="2"/>
    <d v="2026-04-18T00:00:00"/>
    <s v="0066"/>
    <x v="2"/>
    <s v="陈静"/>
    <s v="西南"/>
    <s v="西南"/>
    <s v="CP002"/>
    <s v="多功能一体机 PrintMaster 300"/>
    <n v="3599"/>
    <m/>
    <n v="5"/>
    <n v="1"/>
    <n v="17995"/>
    <n v="17995"/>
    <s v="已发货"/>
    <n v="17995"/>
  </r>
  <r>
    <s v="KH006"/>
    <s v="成都天府商贸"/>
    <s v="成都天府商贸"/>
    <s v="KH006"/>
    <x v="0"/>
    <d v="2026-04-19T00:00:00"/>
    <s v="0067"/>
    <x v="2"/>
    <s v="刘洋"/>
    <s v="西南"/>
    <s v="西南"/>
    <s v="CP011"/>
    <s v="办公软件年费授权"/>
    <n v="699"/>
    <s v="9"/>
    <n v="9"/>
    <n v="1"/>
    <n v="6291"/>
    <n v="6291"/>
    <s v="待付款"/>
    <n v="6291"/>
  </r>
  <r>
    <s v="KH014"/>
    <s v="宁波海港实业"/>
    <s v="宁波海港实业"/>
    <s v="KH014"/>
    <x v="1"/>
    <d v="2026-04-19T00:00:00"/>
    <s v="0068"/>
    <x v="1"/>
    <s v="杨帆"/>
    <s v="华东"/>
    <s v="华东"/>
    <s v="CP007"/>
    <s v="无线键鼠套装 KeyFree 2.0"/>
    <n v="299"/>
    <n v="10"/>
    <n v="10"/>
    <n v="0.95"/>
    <n v="2990"/>
    <n v="2990"/>
    <s v="已完成"/>
    <n v="2840.5"/>
  </r>
  <r>
    <s v="KH015"/>
    <s v="佛山美的家电商贸"/>
    <s v="佛山美的家电商贸"/>
    <s v="KH015"/>
    <x v="2"/>
    <d v="2026-04-19T00:00:00"/>
    <s v="0069"/>
    <x v="0"/>
    <s v="陈静"/>
    <s v="华南"/>
    <s v="华南"/>
    <s v="CP002"/>
    <s v="多功能一体机 PrintMaster 300"/>
    <n v="3599"/>
    <n v="8"/>
    <n v="8"/>
    <n v="1"/>
    <n v="28792"/>
    <n v="28792"/>
    <s v="已完成"/>
    <n v="28792"/>
  </r>
  <r>
    <s v="KH013"/>
    <s v="石家庄振华商贸"/>
    <s v="石家庄振华商贸"/>
    <s v="KH013"/>
    <x v="2"/>
    <d v="2026-04-20T00:00:00"/>
    <s v="0070"/>
    <x v="2"/>
    <s v="杨帆"/>
    <s v="华北"/>
    <s v="华北"/>
    <s v="CP003"/>
    <s v="碎纸机 SafeCut S8"/>
    <n v="899"/>
    <n v="7"/>
    <n v="7"/>
    <n v="1"/>
    <n v="6293"/>
    <n v="6293"/>
    <s v="已完成"/>
    <n v="6293"/>
  </r>
  <r>
    <s v="KH018"/>
    <s v="厦门鹭岛文创"/>
    <s v="厦门鹭岛文创"/>
    <s v="KH018"/>
    <x v="3"/>
    <d v="2026-04-21T00:00:00"/>
    <s v="0071"/>
    <x v="2"/>
    <s v="赵磊"/>
    <s v="华南"/>
    <s v="华南"/>
    <s v="CP009"/>
    <s v="激光硒鼓 TonerMax 12A"/>
    <n v="385"/>
    <n v="73"/>
    <n v="73"/>
    <n v="0.9"/>
    <n v="28105"/>
    <n v="28105"/>
    <s v="已完成"/>
    <n v="25294.5"/>
  </r>
  <r>
    <s v="KH003"/>
    <s v="广州启航教育"/>
    <s v="厦门鹭岛文创"/>
    <s v="KH018"/>
    <x v="1"/>
    <d v="2026-04-22T00:00:00"/>
    <s v="0072"/>
    <x v="0"/>
    <s v="杨帆"/>
    <s v="华南"/>
    <s v="华南"/>
    <s v="CP007"/>
    <s v="无线键鼠套装 KeyFree 2.0"/>
    <n v="299"/>
    <n v="12"/>
    <n v="12"/>
    <n v="0.95"/>
    <n v="3588"/>
    <n v="3588"/>
    <s v="已发货"/>
    <n v="3408.6"/>
  </r>
  <r>
    <s v="KH006"/>
    <s v="成都天府商贸"/>
    <s v="成都天府商贸"/>
    <s v="KH006"/>
    <x v="0"/>
    <d v="2026-04-23T00:00:00"/>
    <s v="0073"/>
    <x v="2"/>
    <s v="赵磊"/>
    <s v="西南"/>
    <s v="西南"/>
    <s v="CP011"/>
    <s v="办公软件年费授权"/>
    <n v="699"/>
    <n v="39"/>
    <n v="39"/>
    <n v="0.95"/>
    <n v="27261"/>
    <n v="27261"/>
    <s v="已完成"/>
    <n v="25897.949999999997"/>
  </r>
  <r>
    <s v="KH008"/>
    <s v="南京紫金山软件园运营"/>
    <s v="南京紫金山软件园运营"/>
    <s v="KH008"/>
    <x v="3"/>
    <d v="2026-04-23T00:00:00"/>
    <s v="0074"/>
    <x v="2"/>
    <s v="王强"/>
    <s v="华东"/>
    <s v="华东"/>
    <s v="CP008"/>
    <s v="A4复印纸（5包/箱）"/>
    <n v="128"/>
    <n v="104"/>
    <n v="104"/>
    <n v="0.85"/>
    <n v="13312"/>
    <n v="13312"/>
    <s v="已完成"/>
    <n v="11315.199999999999"/>
  </r>
  <r>
    <s v="KH005"/>
    <s v="杭州云图信息"/>
    <s v="杭州云图信息"/>
    <s v="KH005"/>
    <x v="2"/>
    <d v="2026-04-26T00:00:00"/>
    <s v="0075"/>
    <x v="0"/>
    <s v="孙悦"/>
    <s v="华东"/>
    <s v="华东"/>
    <s v="CP003"/>
    <s v="碎纸机 SafeCut S8"/>
    <n v="899"/>
    <n v="5"/>
    <n v="5"/>
    <n v="1"/>
    <s v="¥4,495.00"/>
    <n v="4495"/>
    <s v="已完成"/>
    <n v="4495"/>
  </r>
  <r>
    <s v="KH010"/>
    <s v="苏州创智科技"/>
    <s v="苏州创智科技"/>
    <s v="KH010"/>
    <x v="1"/>
    <d v="2026-04-26T00:00:00"/>
    <s v="0076"/>
    <x v="0"/>
    <s v="王强"/>
    <s v="华东"/>
    <s v="华东"/>
    <s v="CP005"/>
    <s v="台式电脑 PowerDesk 500"/>
    <n v="4299"/>
    <s v="6"/>
    <n v="6"/>
    <n v="1"/>
    <n v="25794"/>
    <n v="25794"/>
    <s v="已完成"/>
    <n v="25794"/>
  </r>
  <r>
    <s v="KH002"/>
    <s v="上海锦程贸易"/>
    <s v="上海锦程贸易"/>
    <s v="KH002"/>
    <x v="1"/>
    <d v="2026-04-27T00:00:00"/>
    <s v="0077"/>
    <x v="1"/>
    <s v="赵磊"/>
    <s v="华东"/>
    <s v="华东"/>
    <s v="CP005"/>
    <s v="台式电脑 PowerDesk 500"/>
    <n v="4299"/>
    <m/>
    <n v="8"/>
    <n v="1"/>
    <n v="34392"/>
    <n v="34392"/>
    <s v="已完成"/>
    <n v="34392"/>
  </r>
  <r>
    <s v="KH010"/>
    <s v="苏州创智科技"/>
    <s v="苏州创智科技"/>
    <s v="KH010"/>
    <x v="1"/>
    <d v="2026-04-28T00:00:00"/>
    <s v="0078"/>
    <x v="0"/>
    <s v="杨帆"/>
    <s v="华东"/>
    <s v="华东"/>
    <s v="CP006"/>
    <s v="显示器 ViewMax 27"/>
    <n v="1299"/>
    <n v="7"/>
    <n v="7"/>
    <n v="1"/>
    <n v="9093"/>
    <n v="9093"/>
    <s v="已完成"/>
    <n v="9093"/>
  </r>
  <r>
    <s v="KH015"/>
    <s v="佛山美的家电商贸"/>
    <s v="佛山美的家电商贸"/>
    <s v="KH015"/>
    <x v="3"/>
    <d v="2026-04-28T00:00:00"/>
    <s v="0079"/>
    <x v="0"/>
    <s v="刘洋"/>
    <s v="华南区"/>
    <s v="华南"/>
    <s v="CP008"/>
    <s v="A4复印纸（5包/箱）"/>
    <n v="128"/>
    <n v="96"/>
    <n v="96"/>
    <n v="0.9"/>
    <n v="12288"/>
    <n v="12288"/>
    <s v="已完成"/>
    <n v="11059.2"/>
  </r>
  <r>
    <s v="KH012"/>
    <s v="长沙麓山科技"/>
    <s v="长沙麓山科技"/>
    <s v="KH012"/>
    <x v="2"/>
    <d v="2026-04-28T00:00:00"/>
    <s v="0080"/>
    <x v="1"/>
    <s v="王强"/>
    <s v="华中"/>
    <s v="华中"/>
    <s v="CP002"/>
    <s v="多功能一体机 PrintMaster 300"/>
    <n v="3599"/>
    <n v="7"/>
    <n v="7"/>
    <n v="1"/>
    <n v="25193"/>
    <n v="25193"/>
    <s v="已完成"/>
    <n v="25193"/>
  </r>
  <r>
    <s v="KH011"/>
    <s v="重庆山城办公设备"/>
    <s v="重庆山城办公设备"/>
    <s v="KH011"/>
    <x v="1"/>
    <d v="2026-04-29T00:00:00"/>
    <s v="0081"/>
    <x v="1"/>
    <s v="赵磊"/>
    <s v="西南"/>
    <s v="西南"/>
    <s v="CP005"/>
    <s v="台式电脑 PowerDesk 500"/>
    <n v="4299"/>
    <n v="6"/>
    <n v="6"/>
    <n v="1"/>
    <n v="25794"/>
    <n v="25794"/>
    <s v="待付款"/>
    <n v="25794"/>
  </r>
  <r>
    <s v="KH015"/>
    <s v="佛山美的家电商贸"/>
    <s v="佛山美的家电商贸"/>
    <s v="KH015"/>
    <x v="0"/>
    <d v="2026-04-30T00:00:00"/>
    <s v="0082"/>
    <x v="0"/>
    <s v="杨帆"/>
    <s v="华南"/>
    <s v="华南"/>
    <s v="CP011"/>
    <s v="办公软件年费授权"/>
    <n v="699"/>
    <n v="32"/>
    <n v="32"/>
    <n v="0.95"/>
    <n v="22368"/>
    <n v="22368"/>
    <s v="已完成"/>
    <n v="21249.599999999999"/>
  </r>
  <r>
    <s v="KH015"/>
    <s v="佛山美的家电商贸"/>
    <s v="佛山美的家电商贸"/>
    <s v="KH015"/>
    <x v="3"/>
    <d v="2026-05-01T00:00:00"/>
    <s v="0083"/>
    <x v="0"/>
    <s v="陈静"/>
    <s v="华南"/>
    <s v="华南"/>
    <s v="CP009"/>
    <s v="激光硒鼓 TonerMax 12A"/>
    <n v="385"/>
    <n v="94"/>
    <n v="94"/>
    <n v="0.9"/>
    <n v="36190"/>
    <n v="36190"/>
    <s v="已完成"/>
    <n v="32571"/>
  </r>
  <r>
    <s v="KH015"/>
    <s v="佛山美的家电商贸"/>
    <s v="佛山美的家电商贸"/>
    <s v="KH015"/>
    <x v="3"/>
    <d v="2026-05-01T00:00:00"/>
    <s v="0084"/>
    <x v="0"/>
    <s v="陈静"/>
    <s v="华南"/>
    <s v="华南"/>
    <s v="CP010"/>
    <s v="签字笔盒装（12支）"/>
    <n v="45"/>
    <n v="75"/>
    <n v="75"/>
    <n v="0.9"/>
    <n v="3375"/>
    <n v="3375"/>
    <s v="已发货"/>
    <n v="3037.5"/>
  </r>
  <r>
    <s v="KH007"/>
    <s v="武汉长江实业"/>
    <s v="武汉长江实业"/>
    <s v="KH007"/>
    <x v="3"/>
    <d v="2026-05-03T00:00:00"/>
    <s v="0085"/>
    <x v="1"/>
    <s v="张伟"/>
    <s v="华中"/>
    <s v="华中"/>
    <s v="CP008"/>
    <s v="A4复印纸（5包/箱）"/>
    <n v="128"/>
    <s v="34"/>
    <n v="34"/>
    <n v="0.95"/>
    <n v="4352"/>
    <n v="4352"/>
    <s v="已取消"/>
    <n v="4134.3999999999996"/>
  </r>
  <r>
    <s v="KH003"/>
    <s v="广州启航教育"/>
    <s v="广州启航教育"/>
    <s v="KH003"/>
    <x v="0"/>
    <d v="2026-05-03T00:00:00"/>
    <s v="0086"/>
    <x v="0"/>
    <s v="刘洋"/>
    <s v="华南"/>
    <s v="华南"/>
    <s v="CP012"/>
    <s v="云存储服务（1TB/年）"/>
    <n v="599"/>
    <n v="31"/>
    <n v="31"/>
    <n v="0.95"/>
    <n v="18569"/>
    <n v="18569"/>
    <s v="已发货"/>
    <n v="17640.55"/>
  </r>
  <r>
    <s v="KH003"/>
    <s v="广州启航教育"/>
    <s v="广州启航教育"/>
    <s v="KH003"/>
    <x v="1"/>
    <d v="2026-05-03T00:00:00"/>
    <s v="0087"/>
    <x v="0"/>
    <s v="赵磊"/>
    <s v="华南"/>
    <s v="华南"/>
    <s v="CP006"/>
    <s v="显示器 ViewMax 27"/>
    <n v="1299"/>
    <n v="10"/>
    <n v="10"/>
    <n v="0.95"/>
    <n v="12990"/>
    <n v="12990"/>
    <s v="已发货"/>
    <n v="12340.5"/>
  </r>
  <r>
    <s v="KH013"/>
    <s v="石家庄振华商贸"/>
    <s v="石家庄振华商贸"/>
    <s v="KH013"/>
    <x v="3"/>
    <d v="2026-05-04T00:00:00"/>
    <s v="0088"/>
    <x v="2"/>
    <s v="张伟"/>
    <s v="华北"/>
    <s v="华北"/>
    <s v="CP008"/>
    <s v="A4复印纸（5包/箱）"/>
    <n v="128"/>
    <n v="23"/>
    <n v="23"/>
    <n v="0.95"/>
    <n v="2944"/>
    <n v="2944"/>
    <s v="已完成"/>
    <n v="2796.7999999999997"/>
  </r>
  <r>
    <s v="KH008"/>
    <s v="南京紫金山软件园运营"/>
    <s v="南京紫金山软件园运营"/>
    <s v="KH008"/>
    <x v="1"/>
    <d v="2026-05-05T00:00:00"/>
    <s v="0089"/>
    <x v="2"/>
    <s v="刘洋"/>
    <s v="华东"/>
    <s v="华东"/>
    <s v="CP004"/>
    <s v="笔记本电脑 TechBook 14"/>
    <n v="5699"/>
    <n v="12"/>
    <n v="12"/>
    <n v="0.95"/>
    <n v="68388"/>
    <n v="68388"/>
    <s v="已取消"/>
    <n v="64968.6"/>
  </r>
  <r>
    <s v="KH018"/>
    <s v="厦门鹭岛文创"/>
    <s v="厦门鹭岛文创"/>
    <s v="KH018"/>
    <x v="3"/>
    <d v="2026-05-06T00:00:00"/>
    <s v="0090"/>
    <x v="2"/>
    <s v="杨帆"/>
    <s v="华南"/>
    <s v="华南"/>
    <s v="CP009"/>
    <s v="激光硒鼓 TonerMax 12A"/>
    <n v="385"/>
    <s v="53"/>
    <n v="53"/>
    <n v="0.9"/>
    <n v="20405"/>
    <n v="20405"/>
    <s v="已完成"/>
    <n v="18364.5"/>
  </r>
  <r>
    <s v="KH012"/>
    <s v="长沙麓山科技"/>
    <s v="长沙麓山科技"/>
    <s v="KH012"/>
    <x v="1"/>
    <d v="2026-05-06T00:00:00"/>
    <s v="0091"/>
    <x v="1"/>
    <s v="陈静"/>
    <s v="华中"/>
    <s v="华中"/>
    <s v="CP005"/>
    <s v="台式电脑 PowerDesk 500"/>
    <n v="4299"/>
    <n v="6"/>
    <n v="6"/>
    <n v="1"/>
    <n v="25794"/>
    <n v="25794"/>
    <s v="已完成"/>
    <n v="25794"/>
  </r>
  <r>
    <s v="KH010"/>
    <s v="苏州创智科技"/>
    <s v="苏州创智科技"/>
    <s v="KH010"/>
    <x v="2"/>
    <d v="2026-05-06T00:00:00"/>
    <s v="0092"/>
    <x v="0"/>
    <s v="陈静"/>
    <s v="华东"/>
    <s v="华东"/>
    <s v="CP001"/>
    <s v="激光打印机 ProLaser 200"/>
    <n v="2499"/>
    <n v="6"/>
    <n v="6"/>
    <n v="1"/>
    <n v="14994"/>
    <n v="14994"/>
    <s v="待付款"/>
    <n v="14994"/>
  </r>
  <r>
    <s v="KH009"/>
    <s v="天津海河传媒"/>
    <s v="天津海河传媒"/>
    <s v="KH009"/>
    <x v="1"/>
    <d v="2026-05-06T00:00:00"/>
    <s v="0093"/>
    <x v="2"/>
    <s v="赵磊"/>
    <s v="华北"/>
    <s v="华北"/>
    <s v="CP006"/>
    <s v="显示器 ViewMax 27"/>
    <n v="1299"/>
    <s v="9"/>
    <n v="9"/>
    <n v="1"/>
    <n v="11691"/>
    <n v="11691"/>
    <s v="已完成"/>
    <n v="11691"/>
  </r>
  <r>
    <s v="KH011"/>
    <s v="重庆山城办公设备"/>
    <s v="重庆山城办公设备"/>
    <s v="KH011"/>
    <x v="0"/>
    <d v="2026-05-08T00:00:00"/>
    <s v="0094"/>
    <x v="1"/>
    <s v="陈静"/>
    <s v="西南区"/>
    <s v="西南"/>
    <s v="CP011"/>
    <s v="办公软件年费授权"/>
    <n v="699"/>
    <n v="6"/>
    <n v="6"/>
    <n v="1"/>
    <s v="¥4,194.00"/>
    <n v="4194"/>
    <s v="已取消"/>
    <n v="4194"/>
  </r>
  <r>
    <s v="KH012"/>
    <s v="长沙麓山科技"/>
    <s v="武汉长江实业"/>
    <s v="KH007"/>
    <x v="0"/>
    <d v="2026-05-08T00:00:00"/>
    <s v="0095"/>
    <x v="1"/>
    <s v="杨帆"/>
    <s v="华中"/>
    <s v="华中"/>
    <s v="CP011"/>
    <s v="办公软件年费授权"/>
    <n v="699"/>
    <n v="35"/>
    <n v="35"/>
    <n v="0.95"/>
    <n v="24465"/>
    <n v="24465"/>
    <s v="已完成"/>
    <n v="23241.75"/>
  </r>
  <r>
    <s v="KH013"/>
    <s v="石家庄振华商贸"/>
    <s v="石家庄振华商贸"/>
    <s v="KH013"/>
    <x v="1"/>
    <d v="2026-05-08T00:00:00"/>
    <s v="0096"/>
    <x v="2"/>
    <s v="王强"/>
    <s v="华北"/>
    <s v="华北"/>
    <s v="CP006"/>
    <s v="显示器 ViewMax 27"/>
    <n v="1299"/>
    <n v="2"/>
    <n v="2"/>
    <n v="1"/>
    <n v="2598"/>
    <n v="2598"/>
    <s v="已发货"/>
    <n v="2598"/>
  </r>
  <r>
    <s v="KH019"/>
    <s v="北京中关新材"/>
    <s v="北京中关新材"/>
    <s v="KH019"/>
    <x v="0"/>
    <d v="2026-05-09T00:00:00"/>
    <s v="0097"/>
    <x v="1"/>
    <s v="赵磊"/>
    <s v="华北区"/>
    <s v="华北"/>
    <s v="CP012"/>
    <s v="云存储服务（1TB/年）"/>
    <n v="599"/>
    <n v="35"/>
    <n v="35"/>
    <n v="0.95"/>
    <n v="20965"/>
    <n v="20965"/>
    <s v="已发货"/>
    <n v="19916.75"/>
  </r>
  <r>
    <s v="KH019"/>
    <s v="北京中关新材"/>
    <s v="北京中关新材"/>
    <s v="KH019"/>
    <x v="0"/>
    <d v="2026-05-09T00:00:00"/>
    <s v="0098"/>
    <x v="1"/>
    <s v="孙悦"/>
    <s v="华北 "/>
    <s v="华北"/>
    <s v="CP012"/>
    <s v="云存储服务（1TB/年）"/>
    <n v="599"/>
    <n v="3"/>
    <n v="3"/>
    <n v="1"/>
    <n v="1797"/>
    <n v="1797"/>
    <s v="已完成"/>
    <n v="1797"/>
  </r>
  <r>
    <s v="KH008"/>
    <s v="南京紫金山软件园运营"/>
    <s v="南京紫金山软件园运营"/>
    <s v="KH008"/>
    <x v="0"/>
    <d v="2026-05-10T00:00:00"/>
    <s v="0099"/>
    <x v="2"/>
    <s v="刘洋"/>
    <s v="华东"/>
    <s v="华东"/>
    <s v="CP011"/>
    <s v="办公软件年费授权"/>
    <n v="699"/>
    <s v="10"/>
    <n v="10"/>
    <n v="0.95"/>
    <n v="6990"/>
    <n v="6990"/>
    <s v="待付款"/>
    <n v="6640.5"/>
  </r>
  <r>
    <s v="KH005"/>
    <s v="杭州云图信息"/>
    <s v="杭州云图信息"/>
    <s v="KH005"/>
    <x v="0"/>
    <d v="2026-05-11T00:00:00"/>
    <s v="0100"/>
    <x v="0"/>
    <s v="王强"/>
    <s v="华东"/>
    <s v="华东"/>
    <s v="CP011"/>
    <s v="办公软件年费授权 "/>
    <n v="699"/>
    <n v="33"/>
    <n v="33"/>
    <n v="0.95"/>
    <n v="23067"/>
    <n v="23067"/>
    <s v="已完成"/>
    <n v="21913.649999999998"/>
  </r>
  <r>
    <s v="KH016"/>
    <s v="昆明滇池科技"/>
    <s v="昆明滇池科技"/>
    <s v="KH016"/>
    <x v="1"/>
    <d v="2026-05-12T00:00:00"/>
    <s v="0101"/>
    <x v="2"/>
    <s v="赵磊"/>
    <s v="西南"/>
    <s v="西南"/>
    <s v="CP006"/>
    <s v="显示器 ViewMax 27"/>
    <n v="1299"/>
    <n v="11"/>
    <n v="11"/>
    <n v="0.95"/>
    <n v="14289"/>
    <n v="14289"/>
    <s v="已完成"/>
    <n v="13574.55"/>
  </r>
  <r>
    <s v="KH014"/>
    <s v="宁波海港实业"/>
    <s v="宁波海港实业"/>
    <s v="KH014"/>
    <x v="1"/>
    <d v="2026-05-12T00:00:00"/>
    <s v="0102"/>
    <x v="1"/>
    <s v="王强"/>
    <s v="华东"/>
    <s v="华东"/>
    <s v="CP004"/>
    <s v="笔记本电脑 TechBook 14"/>
    <n v="5699"/>
    <n v="10"/>
    <n v="10"/>
    <n v="0.95"/>
    <n v="56990"/>
    <n v="56990"/>
    <s v="已发货"/>
    <n v="54140.5"/>
  </r>
  <r>
    <s v="KH003"/>
    <s v="广州启航教育"/>
    <s v="广州启航教育"/>
    <s v="KH003"/>
    <x v="0"/>
    <d v="2026-05-12T00:00:00"/>
    <s v="0103"/>
    <x v="0"/>
    <s v="张伟"/>
    <s v="华南"/>
    <s v="华南"/>
    <s v="CP011"/>
    <s v="办公软件年费授权"/>
    <n v="699"/>
    <n v="38"/>
    <n v="38"/>
    <n v="0.95"/>
    <n v="26562"/>
    <n v="26562"/>
    <s v="待付款"/>
    <n v="25233.899999999998"/>
  </r>
  <r>
    <s v="KH017"/>
    <s v="郑州中原物流"/>
    <s v="郑州中原物流"/>
    <s v="KH017"/>
    <x v="1"/>
    <d v="2026-05-12T00:00:00"/>
    <s v="0104"/>
    <x v="1"/>
    <s v="王强"/>
    <s v="华中区"/>
    <s v="华中"/>
    <s v="CP005"/>
    <s v="台式电脑 PowerDesk 500"/>
    <n v="4299"/>
    <n v="5"/>
    <n v="5"/>
    <n v="1"/>
    <n v="21495"/>
    <n v="21495"/>
    <s v="已完成"/>
    <n v="21495"/>
  </r>
  <r>
    <s v="KH009"/>
    <s v="天津海河传媒"/>
    <s v="天津海河传媒"/>
    <s v="KH009"/>
    <x v="2"/>
    <d v="2026-06-03T00:00:00"/>
    <s v="0126"/>
    <x v="2"/>
    <s v="孙悦"/>
    <s v="华北"/>
    <s v="华北"/>
    <s v="CP002"/>
    <s v="多功能一体机 PrintMaster 300"/>
    <n v="3599"/>
    <n v="11"/>
    <n v="11"/>
    <n v="0.95"/>
    <n v="39589"/>
    <n v="39589"/>
    <s v="已完成"/>
    <n v="37609.549999999996"/>
  </r>
  <r>
    <s v="KH019"/>
    <s v="北京中关新材"/>
    <s v="北京中关新材"/>
    <s v="KH019"/>
    <x v="3"/>
    <d v="2026-05-13T00:00:00"/>
    <s v="0105"/>
    <x v="1"/>
    <s v="孙悦"/>
    <s v="华北"/>
    <s v="华北"/>
    <s v="CP009"/>
    <s v="激光硒鼓 TonerMax 12A"/>
    <n v="385"/>
    <n v="26"/>
    <n v="26"/>
    <n v="0.95"/>
    <n v="10010"/>
    <n v="10010"/>
    <s v="已完成"/>
    <n v="9509.5"/>
  </r>
  <r>
    <s v="KH014"/>
    <s v="宁波海港实业"/>
    <s v="宁波海港实业"/>
    <s v="KH014"/>
    <x v="3"/>
    <d v="2026-05-14T00:00:00"/>
    <s v="0106"/>
    <x v="1"/>
    <s v="王强"/>
    <s v="华东"/>
    <s v="华东"/>
    <s v="CP010"/>
    <s v="签字笔盒装（12支）"/>
    <n v="45"/>
    <s v="97"/>
    <n v="97"/>
    <n v="0.9"/>
    <n v="4365"/>
    <n v="4365"/>
    <s v="已完成"/>
    <n v="3928.5"/>
  </r>
  <r>
    <s v="KH012"/>
    <s v="长沙麓山科技"/>
    <s v="长沙麓山科技"/>
    <s v="KH012"/>
    <x v="0"/>
    <d v="2026-05-14T00:00:00"/>
    <s v="0107"/>
    <x v="1"/>
    <s v="陈静"/>
    <s v="华中"/>
    <s v="华中"/>
    <s v="CP012"/>
    <s v="云存储服务（1TB/年） "/>
    <n v="599"/>
    <n v="3"/>
    <n v="3"/>
    <n v="1"/>
    <n v="1797"/>
    <n v="1797"/>
    <s v="已完成"/>
    <n v="1797"/>
  </r>
  <r>
    <s v="KH006"/>
    <s v="成都天府商贸"/>
    <s v="成都天府商贸"/>
    <s v="KH006"/>
    <x v="3"/>
    <d v="2026-05-15T00:00:00"/>
    <s v="0108"/>
    <x v="2"/>
    <s v="赵磊"/>
    <s v="西南"/>
    <s v="西南"/>
    <s v="CP008"/>
    <s v="A4复印纸（5包/箱）"/>
    <n v="128"/>
    <n v="69"/>
    <n v="69"/>
    <n v="0.9"/>
    <s v="¥8,832.00"/>
    <n v="8832"/>
    <s v="已完成"/>
    <n v="7948.8"/>
  </r>
  <r>
    <s v="KH005"/>
    <s v="杭州云图信息"/>
    <s v="杭州云图信息"/>
    <s v="KH005"/>
    <x v="3"/>
    <d v="2026-05-18T00:00:00"/>
    <s v="0109"/>
    <x v="0"/>
    <s v="孙悦"/>
    <s v="华东区"/>
    <s v="华东"/>
    <s v="CP010"/>
    <s v="签字笔盒装（12支）"/>
    <n v="45"/>
    <n v="15"/>
    <n v="15"/>
    <n v="0.95"/>
    <n v="675"/>
    <n v="675"/>
    <s v="已完成"/>
    <n v="641.25"/>
  </r>
  <r>
    <s v="KH002"/>
    <s v="上海锦程贸易"/>
    <s v="上海锦程贸易"/>
    <s v="KH002"/>
    <x v="3"/>
    <d v="2026-05-20T00:00:00"/>
    <s v="0110"/>
    <x v="1"/>
    <s v="陈静"/>
    <s v="华东区"/>
    <s v="华东"/>
    <s v="CP008"/>
    <s v="A4复印纸（5包/箱）"/>
    <n v="128"/>
    <n v="100"/>
    <n v="100"/>
    <n v="0.85"/>
    <n v="12800"/>
    <n v="12800"/>
    <s v="已完成"/>
    <n v="10880"/>
  </r>
  <r>
    <s v="KH001"/>
    <s v="北京华信科技"/>
    <s v="北京华信科技"/>
    <s v="KH001"/>
    <x v="3"/>
    <d v="2026-05-21T00:00:00"/>
    <s v="0111"/>
    <x v="0"/>
    <s v="李娜"/>
    <s v="华北"/>
    <s v="华北"/>
    <s v="CP008"/>
    <s v="A4复印纸（5包/箱）"/>
    <n v="128"/>
    <n v="114"/>
    <n v="114"/>
    <n v="0.85"/>
    <n v="14592"/>
    <n v="14592"/>
    <s v="已完成"/>
    <n v="12403.199999999999"/>
  </r>
  <r>
    <s v="KH008"/>
    <s v="南京紫金山软件园运营"/>
    <s v="南京紫金山软件园运营"/>
    <s v="KH008"/>
    <x v="0"/>
    <d v="2026-05-21T00:00:00"/>
    <s v="0112"/>
    <x v="2"/>
    <s v="刘洋"/>
    <s v="华东"/>
    <s v="华东"/>
    <s v="CP011"/>
    <s v="办公软件年费授权"/>
    <n v="699"/>
    <n v="12"/>
    <n v="12"/>
    <n v="0.95"/>
    <n v="8388"/>
    <n v="8388"/>
    <s v="已完成"/>
    <n v="7968.5999999999995"/>
  </r>
  <r>
    <s v="KH019"/>
    <s v="北京中关新材"/>
    <s v="北京中关新材"/>
    <s v="KH019"/>
    <x v="1"/>
    <d v="2026-05-22T00:00:00"/>
    <s v="0113"/>
    <x v="1"/>
    <s v="赵磊"/>
    <s v="华北"/>
    <s v="华北"/>
    <s v="CP004"/>
    <s v="笔记本电脑 TechBook 14"/>
    <n v="5699"/>
    <n v="3"/>
    <n v="3"/>
    <n v="1"/>
    <n v="17097"/>
    <n v="17097"/>
    <s v="已发货"/>
    <n v="17097"/>
  </r>
  <r>
    <s v="KH009"/>
    <s v="天津海河传媒"/>
    <s v="天津海河传媒"/>
    <s v="KH009"/>
    <x v="1"/>
    <d v="2026-05-23T00:00:00"/>
    <s v="0114"/>
    <x v="2"/>
    <s v="陈静"/>
    <s v="华北"/>
    <s v="华北"/>
    <s v="CP006"/>
    <s v="显示器 ViewMax 27"/>
    <n v="1299"/>
    <n v="4"/>
    <n v="4"/>
    <n v="1"/>
    <n v="5196"/>
    <n v="5196"/>
    <s v="已发货"/>
    <n v="5196"/>
  </r>
  <r>
    <s v="KH008"/>
    <s v="南京紫金山软件园运营"/>
    <s v="南京紫金山软件园运营"/>
    <s v="KH008"/>
    <x v="0"/>
    <d v="2026-05-23T00:00:00"/>
    <s v="0115"/>
    <x v="2"/>
    <s v="孙悦"/>
    <s v="华东"/>
    <s v="华东"/>
    <s v="CP012"/>
    <s v="云存储服务（1TB/年）"/>
    <n v="599"/>
    <n v="40"/>
    <n v="40"/>
    <n v="0.95"/>
    <n v="23960"/>
    <n v="23960"/>
    <s v="已完成"/>
    <n v="22762"/>
  </r>
  <r>
    <s v="KH018"/>
    <s v="厦门鹭岛文创"/>
    <s v="厦门鹭岛文创"/>
    <s v="KH018"/>
    <x v="3"/>
    <d v="2026-05-23T00:00:00"/>
    <s v="0116"/>
    <x v="2"/>
    <s v="李娜"/>
    <s v="华南"/>
    <s v="华南"/>
    <s v="CP010"/>
    <s v="签字笔盒装（12支）"/>
    <n v="45"/>
    <n v="24"/>
    <n v="24"/>
    <n v="0.95"/>
    <n v="1080"/>
    <n v="1080"/>
    <s v="已完成"/>
    <n v="1026"/>
  </r>
  <r>
    <s v="KH013"/>
    <s v="石家庄振华商贸"/>
    <s v="石家庄振华商贸"/>
    <s v="KH013"/>
    <x v="3"/>
    <d v="2026-05-24T00:00:00"/>
    <s v="0117"/>
    <x v="2"/>
    <s v="王强"/>
    <s v="华北"/>
    <s v="华北"/>
    <s v="CP009"/>
    <s v="激光硒鼓 TonerMax 12A"/>
    <n v="385"/>
    <n v="24"/>
    <n v="24"/>
    <n v="0.95"/>
    <s v="¥9,240.00"/>
    <n v="9240"/>
    <s v="已完成"/>
    <n v="8778"/>
  </r>
  <r>
    <s v="KH008"/>
    <s v="南京紫金山软件园运营"/>
    <s v="南京紫金山软件园运营"/>
    <s v="KH008"/>
    <x v="0"/>
    <d v="2026-05-25T00:00:00"/>
    <s v="0118"/>
    <x v="2"/>
    <s v="张伟"/>
    <s v="华东"/>
    <s v="华东"/>
    <s v="CP011"/>
    <s v="办公软件年费授权"/>
    <n v="699"/>
    <n v="29"/>
    <n v="29"/>
    <n v="0.95"/>
    <n v="20271"/>
    <n v="20271"/>
    <s v="已完成"/>
    <n v="19257.45"/>
  </r>
  <r>
    <s v="KH003"/>
    <s v="广州启航教育"/>
    <s v="广州启航教育"/>
    <s v="KH003"/>
    <x v="0"/>
    <d v="2026-05-27T00:00:00"/>
    <s v="0119"/>
    <x v="0"/>
    <s v="陈静"/>
    <s v="华南"/>
    <s v="华南"/>
    <s v="CP011"/>
    <s v="办公软件年费授权"/>
    <n v="699"/>
    <n v="19"/>
    <n v="19"/>
    <n v="0.95"/>
    <n v="13281"/>
    <n v="13281"/>
    <s v="已发货"/>
    <n v="12616.949999999999"/>
  </r>
  <r>
    <s v="KH007"/>
    <s v="武汉长江实业"/>
    <s v="武汉长江实业"/>
    <s v="KH007"/>
    <x v="3"/>
    <d v="2026-05-28T00:00:00"/>
    <s v="0120"/>
    <x v="1"/>
    <s v="陈静"/>
    <s v=" 华中"/>
    <s v="华中"/>
    <s v="CP008"/>
    <s v="A4复印纸（5包/箱）"/>
    <n v="128"/>
    <s v="68"/>
    <n v="68"/>
    <n v="0.9"/>
    <n v="8704"/>
    <n v="8704"/>
    <s v="待付款"/>
    <n v="7833.6"/>
  </r>
  <r>
    <s v="KH010"/>
    <s v="苏州创智科技"/>
    <s v="苏州创智科技"/>
    <s v="KH010"/>
    <x v="2"/>
    <d v="2026-05-28T00:00:00"/>
    <s v="0121"/>
    <x v="0"/>
    <s v="刘洋"/>
    <s v="华东"/>
    <s v="华东"/>
    <s v="CP003"/>
    <s v="碎纸机 SafeCut S8"/>
    <n v="899"/>
    <n v="3"/>
    <n v="3"/>
    <n v="1"/>
    <n v="2697"/>
    <n v="2697"/>
    <s v="已取消"/>
    <n v="2697"/>
  </r>
  <r>
    <s v="KH009"/>
    <s v="天津海河传媒"/>
    <s v="天津海河传媒"/>
    <s v="KH009"/>
    <x v="3"/>
    <d v="2026-05-30T00:00:00"/>
    <s v="0122"/>
    <x v="2"/>
    <s v="张伟"/>
    <s v=" 华北"/>
    <s v="华北"/>
    <s v="CP009"/>
    <s v="激光硒鼓 TonerMax 12A"/>
    <n v="385"/>
    <n v="85"/>
    <n v="85"/>
    <n v="0.9"/>
    <n v="32725"/>
    <n v="32725"/>
    <s v="已取消"/>
    <n v="29452.5"/>
  </r>
  <r>
    <s v="KH008"/>
    <s v="南京紫金山软件园运营"/>
    <s v="南京紫金山软件园运营"/>
    <s v="KH008"/>
    <x v="3"/>
    <d v="2026-07-26T00:00:00"/>
    <s v="0172"/>
    <x v="2"/>
    <s v="赵磊"/>
    <s v="华东"/>
    <s v="华东"/>
    <s v="CP008"/>
    <s v="A4复印纸（5包/箱）"/>
    <n v="128"/>
    <n v="66"/>
    <n v="66"/>
    <n v="0.9"/>
    <n v="8448"/>
    <n v="8448"/>
    <s v="已发货"/>
    <n v="7603.2"/>
  </r>
  <r>
    <s v="KH013"/>
    <s v="石家庄振华商贸"/>
    <s v="石家庄振华商贸"/>
    <s v="KH013"/>
    <x v="1"/>
    <d v="2026-05-31T00:00:00"/>
    <s v="0123"/>
    <x v="2"/>
    <s v="李娜"/>
    <s v="华北区"/>
    <s v="华北"/>
    <s v="CP006"/>
    <s v="显示器 ViewMax 27"/>
    <n v="1299"/>
    <s v="5"/>
    <n v="5"/>
    <n v="1"/>
    <n v="6495"/>
    <n v="6495"/>
    <s v="已完成"/>
    <n v="6495"/>
  </r>
  <r>
    <s v="KH006"/>
    <s v="成都天府商贸"/>
    <s v="成都天府商贸"/>
    <s v="KH006"/>
    <x v="0"/>
    <d v="2026-06-02T00:00:00"/>
    <s v="0124"/>
    <x v="2"/>
    <s v="李娜"/>
    <s v="西南"/>
    <s v="西南"/>
    <s v="CP011"/>
    <s v="办公软件年费授权"/>
    <n v="699"/>
    <n v="35"/>
    <n v="35"/>
    <n v="0.95"/>
    <n v="24465"/>
    <n v="24465"/>
    <s v="待付款"/>
    <n v="23241.75"/>
  </r>
  <r>
    <s v="KH005"/>
    <s v="杭州云图信息"/>
    <s v="杭州云图信息"/>
    <s v="KH005"/>
    <x v="2"/>
    <d v="2026-06-03T00:00:00"/>
    <s v="0125"/>
    <x v="0"/>
    <s v="李娜"/>
    <s v="华东"/>
    <s v="华东"/>
    <s v="CP002"/>
    <s v="多功能一体机 PrintMaster 300 "/>
    <n v="3599"/>
    <n v="1"/>
    <n v="1"/>
    <n v="1"/>
    <n v="3599"/>
    <n v="3599"/>
    <s v="已完成"/>
    <n v="3599"/>
  </r>
  <r>
    <s v="KH009"/>
    <s v="天津海河传媒"/>
    <s v="天津海河传媒"/>
    <s v="KH009"/>
    <x v="2"/>
    <d v="2026-06-03T00:00:00"/>
    <s v="0126"/>
    <x v="2"/>
    <s v="孙悦"/>
    <s v="华北"/>
    <s v="华北"/>
    <s v="CP002"/>
    <s v="多功能一体机 PrintMaster 300"/>
    <n v="3599"/>
    <n v="8"/>
    <n v="8"/>
    <n v="1"/>
    <n v="28792"/>
    <n v="28792"/>
    <s v="已完成"/>
    <n v="28792"/>
  </r>
  <r>
    <s v="KH003"/>
    <s v="广州启航教育"/>
    <s v="广州启航教育"/>
    <s v="KH003"/>
    <x v="1"/>
    <d v="2026-06-07T00:00:00"/>
    <s v="0127"/>
    <x v="0"/>
    <s v="李娜"/>
    <s v="华南"/>
    <s v="华南"/>
    <s v="CP006"/>
    <s v="显示器 ViewMax 27"/>
    <n v="1299"/>
    <n v="1"/>
    <n v="1"/>
    <n v="1"/>
    <n v="1299"/>
    <n v="1299"/>
    <s v="已完成"/>
    <n v="1299"/>
  </r>
  <r>
    <s v="KH003"/>
    <s v="广州启航教育"/>
    <s v="广州启航教育"/>
    <s v="KH003"/>
    <x v="0"/>
    <d v="2026-06-09T00:00:00"/>
    <s v="0128"/>
    <x v="0"/>
    <s v="张伟"/>
    <s v="华南"/>
    <s v="华南"/>
    <s v="CP011"/>
    <s v="办公软件年费授权"/>
    <n v="699"/>
    <n v="3"/>
    <n v="3"/>
    <n v="1"/>
    <n v="2097"/>
    <n v="2097"/>
    <s v="已发货"/>
    <n v="2097"/>
  </r>
  <r>
    <s v="KH001"/>
    <s v="北京华信科技"/>
    <s v="北京华信科技"/>
    <s v="KH001"/>
    <x v="3"/>
    <d v="2026-06-09T00:00:00"/>
    <s v="0129"/>
    <x v="0"/>
    <s v="杨帆"/>
    <s v="华北"/>
    <s v="华北"/>
    <s v="CP009"/>
    <s v="激光硒鼓 TonerMax 12A"/>
    <n v="385"/>
    <n v="25"/>
    <n v="25"/>
    <n v="0.95"/>
    <n v="9625"/>
    <n v="9625"/>
    <s v="已发货"/>
    <n v="9143.75"/>
  </r>
  <r>
    <s v="KH005"/>
    <s v="杭州云图信息"/>
    <s v="杭州云图信息"/>
    <s v="KH005"/>
    <x v="3"/>
    <d v="2026-06-10T00:00:00"/>
    <s v="0130"/>
    <x v="0"/>
    <s v="孙悦"/>
    <s v="华东"/>
    <s v="华东"/>
    <s v="CP008"/>
    <s v="A4复印纸（5包/箱）"/>
    <n v="128"/>
    <n v="51"/>
    <n v="51"/>
    <n v="0.9"/>
    <n v="6528"/>
    <n v="6528"/>
    <s v="已发货"/>
    <n v="5875.2"/>
  </r>
  <r>
    <s v="KH007"/>
    <s v="武汉长江实业"/>
    <s v="武汉长江实业"/>
    <s v="KH007"/>
    <x v="3"/>
    <d v="2026-06-13T00:00:00"/>
    <s v="0131"/>
    <x v="1"/>
    <s v="杨帆"/>
    <s v="华中"/>
    <s v="华中"/>
    <s v="CP008"/>
    <s v="A4复印纸（5包/箱）"/>
    <n v="128"/>
    <n v="118"/>
    <n v="118"/>
    <n v="0.85"/>
    <n v="15104"/>
    <n v="15104"/>
    <s v="已完成"/>
    <n v="12838.4"/>
  </r>
  <r>
    <s v="KH010"/>
    <s v="苏州创智科技"/>
    <s v="苏州创智科技"/>
    <s v="KH010"/>
    <x v="3"/>
    <d v="2026-06-15T00:00:00"/>
    <s v="0132"/>
    <x v="0"/>
    <s v="刘洋"/>
    <s v="华东"/>
    <s v="华东"/>
    <s v="CP009"/>
    <s v="激光硒鼓 TonerMax 12A "/>
    <n v="385"/>
    <n v="66"/>
    <n v="66"/>
    <n v="0.9"/>
    <n v="25410"/>
    <n v="25410"/>
    <s v="已发货"/>
    <n v="22869"/>
  </r>
  <r>
    <s v="KH011"/>
    <s v="重庆山城办公设备"/>
    <s v="重庆山城办公设备"/>
    <s v="KH011"/>
    <x v="3"/>
    <d v="2026-06-15T00:00:00"/>
    <s v="0133"/>
    <x v="1"/>
    <s v="张伟"/>
    <s v="西南"/>
    <s v="西南"/>
    <s v="CP009"/>
    <s v="激光硒鼓 TonerMax 12A"/>
    <n v="385"/>
    <n v="71"/>
    <n v="71"/>
    <n v="0.9"/>
    <s v="¥27,335.00"/>
    <n v="27335"/>
    <s v="已完成"/>
    <n v="24601.5"/>
  </r>
  <r>
    <s v="KH004"/>
    <s v="深圳蓝鲸网络"/>
    <s v="深圳蓝鲸网络"/>
    <s v="KH004"/>
    <x v="3"/>
    <d v="2026-06-15T00:00:00"/>
    <s v="0134"/>
    <x v="1"/>
    <s v="孙悦"/>
    <s v="华南"/>
    <s v="华南"/>
    <s v="CP010"/>
    <s v="签字笔盒装（12支）"/>
    <n v="45"/>
    <n v="77"/>
    <n v="77"/>
    <n v="0.9"/>
    <n v="3465"/>
    <n v="3465"/>
    <s v="待付款"/>
    <n v="3118.5"/>
  </r>
  <r>
    <s v="KH005"/>
    <s v="杭州云图信息"/>
    <s v="杭州云图信息"/>
    <s v="KH005"/>
    <x v="0"/>
    <d v="2026-06-16T00:00:00"/>
    <s v="0135"/>
    <x v="0"/>
    <s v="陈静"/>
    <s v="华东"/>
    <s v="华东"/>
    <s v="CP011"/>
    <s v="办公软件年费授权"/>
    <n v="699"/>
    <n v="22"/>
    <n v="22"/>
    <n v="0.95"/>
    <n v="15378"/>
    <n v="15378"/>
    <s v="已发货"/>
    <n v="14609.099999999999"/>
  </r>
  <r>
    <s v="KH017"/>
    <s v="郑州中原物流"/>
    <s v="郑州中原物流"/>
    <s v="KH017"/>
    <x v="3"/>
    <d v="2026-06-17T00:00:00"/>
    <s v="0136"/>
    <x v="1"/>
    <s v="王强"/>
    <s v="华中"/>
    <s v="华中"/>
    <s v="CP008"/>
    <s v="A4复印纸（5包/箱）"/>
    <n v="128"/>
    <n v="55"/>
    <n v="55"/>
    <n v="0.9"/>
    <n v="7040"/>
    <n v="7040"/>
    <s v="已取消"/>
    <n v="6336"/>
  </r>
  <r>
    <s v="KH002"/>
    <s v="上海锦程贸易"/>
    <s v="上海锦程贸易"/>
    <s v="KH002"/>
    <x v="1"/>
    <d v="2026-06-19T00:00:00"/>
    <s v="0137"/>
    <x v="1"/>
    <s v="李娜"/>
    <s v="华东"/>
    <s v="华东"/>
    <s v="CP006"/>
    <s v="显示器 ViewMax 27"/>
    <n v="1299"/>
    <n v="4"/>
    <n v="4"/>
    <n v="1"/>
    <n v="5196"/>
    <n v="5196"/>
    <s v="已完成"/>
    <n v="5196"/>
  </r>
  <r>
    <s v="KH009"/>
    <s v="天津海河传媒"/>
    <s v="天津海河传媒"/>
    <s v="KH009"/>
    <x v="0"/>
    <d v="2026-06-21T00:00:00"/>
    <s v="0138"/>
    <x v="2"/>
    <s v="赵磊"/>
    <s v="华北"/>
    <s v="华北"/>
    <s v="CP011"/>
    <s v="办公软件年费授权"/>
    <n v="699"/>
    <n v="8"/>
    <n v="8"/>
    <n v="1"/>
    <s v="¥5,592.00"/>
    <n v="5592"/>
    <s v="已完成"/>
    <n v="5592"/>
  </r>
  <r>
    <s v="KH001"/>
    <s v="北京华信科技"/>
    <s v="北京华信科技"/>
    <s v="KH001"/>
    <x v="1"/>
    <d v="2026-06-21T00:00:00"/>
    <s v="0139"/>
    <x v="0"/>
    <s v="王强"/>
    <s v="华北"/>
    <s v="华北"/>
    <s v="CP004"/>
    <s v="笔记本电脑 TechBook 14"/>
    <n v="5699"/>
    <s v="5"/>
    <n v="5"/>
    <n v="1"/>
    <n v="28495"/>
    <n v="28495"/>
    <s v="已完成"/>
    <n v="28495"/>
  </r>
  <r>
    <s v="KH018"/>
    <s v="厦门鹭岛文创"/>
    <s v="厦门鹭岛文创"/>
    <s v="KH018"/>
    <x v="2"/>
    <d v="2026-06-22T00:00:00"/>
    <s v="0140"/>
    <x v="2"/>
    <s v="张伟"/>
    <s v="华南"/>
    <s v="华南"/>
    <s v="CP002"/>
    <s v="多功能一体机 PrintMaster 300"/>
    <n v="3599"/>
    <s v="3"/>
    <n v="3"/>
    <n v="1"/>
    <n v="10797"/>
    <n v="10797"/>
    <s v="已完成"/>
    <n v="10797"/>
  </r>
  <r>
    <s v="KH017"/>
    <s v="郑州中原物流"/>
    <s v="郑州中原物流"/>
    <s v="KH017"/>
    <x v="0"/>
    <d v="2026-06-23T00:00:00"/>
    <s v="0141"/>
    <x v="1"/>
    <s v="李娜"/>
    <s v="华中"/>
    <s v="华中"/>
    <s v="CP011"/>
    <s v="办公软件年费授权"/>
    <n v="699"/>
    <n v="37"/>
    <n v="37"/>
    <n v="0.95"/>
    <n v="25863"/>
    <n v="25863"/>
    <s v="待付款"/>
    <n v="24569.85"/>
  </r>
  <r>
    <s v="KH010"/>
    <s v="苏州创智科技"/>
    <s v="苏州创智科技"/>
    <s v="KH010"/>
    <x v="2"/>
    <d v="2026-06-25T00:00:00"/>
    <s v="0142"/>
    <x v="0"/>
    <s v="张伟"/>
    <s v=" 华东"/>
    <s v="华东"/>
    <s v="CP001"/>
    <s v="激光打印机 ProLaser 200 "/>
    <n v="2499"/>
    <n v="8"/>
    <n v="8"/>
    <n v="1"/>
    <n v="19992"/>
    <n v="19992"/>
    <s v="已取消"/>
    <n v="19992"/>
  </r>
  <r>
    <s v="KH018"/>
    <s v="厦门鹭岛文创"/>
    <s v="厦门鹭岛文创"/>
    <s v="KH018"/>
    <x v="0"/>
    <d v="2026-06-26T00:00:00"/>
    <s v="0143"/>
    <x v="2"/>
    <s v="张伟"/>
    <s v="华南"/>
    <s v="华南"/>
    <s v="CP012"/>
    <s v="云存储服务（1TB/年）"/>
    <n v="599"/>
    <n v="32"/>
    <n v="32"/>
    <n v="0.95"/>
    <n v="19168"/>
    <n v="19168"/>
    <s v="已完成"/>
    <n v="18209.599999999999"/>
  </r>
  <r>
    <s v="KH003"/>
    <s v="广州启航教育"/>
    <s v="广州启航教育"/>
    <s v="KH003"/>
    <x v="2"/>
    <d v="2026-06-27T00:00:00"/>
    <s v="0144"/>
    <x v="0"/>
    <s v="张伟"/>
    <s v="华南"/>
    <s v="华南"/>
    <s v="CP002"/>
    <s v="多功能一体机 PrintMaster 300"/>
    <n v="3599"/>
    <n v="4"/>
    <n v="4"/>
    <n v="1"/>
    <n v="14396"/>
    <n v="14396"/>
    <s v="已完成"/>
    <n v="14396"/>
  </r>
  <r>
    <s v="KH012"/>
    <s v="长沙麓山科技"/>
    <s v="长沙麓山科技"/>
    <s v="KH012"/>
    <x v="3"/>
    <d v="2026-06-28T00:00:00"/>
    <s v="0145"/>
    <x v="1"/>
    <s v="李娜"/>
    <s v="华中 "/>
    <s v="华中"/>
    <s v="CP008"/>
    <s v="A4复印纸（5包/箱）"/>
    <n v="128"/>
    <n v="43"/>
    <n v="43"/>
    <n v="0.95"/>
    <n v="5504"/>
    <n v="5504"/>
    <s v="待付款"/>
    <n v="5228.8"/>
  </r>
  <r>
    <s v="KH014"/>
    <s v="宁波海港实业"/>
    <s v="宁波海港实业"/>
    <s v="KH014"/>
    <x v="2"/>
    <d v="2026-06-29T00:00:00"/>
    <s v="0146"/>
    <x v="1"/>
    <s v="孙悦"/>
    <s v="华东"/>
    <s v="华东"/>
    <s v="CP003"/>
    <s v="碎纸机 SafeCut S8"/>
    <n v="899"/>
    <n v="4"/>
    <n v="4"/>
    <n v="1"/>
    <n v="3596"/>
    <n v="3596"/>
    <s v="待付款"/>
    <n v="3596"/>
  </r>
  <r>
    <s v="KH010"/>
    <s v="苏州创智科技"/>
    <s v="苏州创智科技"/>
    <s v="KH010"/>
    <x v="1"/>
    <d v="2026-06-30T00:00:00"/>
    <s v="0147"/>
    <x v="0"/>
    <s v="孙悦"/>
    <s v="华东"/>
    <s v="华东"/>
    <s v="CP004"/>
    <s v="笔记本电脑 TechBook 14"/>
    <n v="5699"/>
    <n v="7"/>
    <n v="7"/>
    <n v="1"/>
    <n v="39893"/>
    <n v="39893"/>
    <s v="已完成"/>
    <n v="39893"/>
  </r>
  <r>
    <s v="KH001"/>
    <s v="北京华信科技"/>
    <s v="北京华信科技"/>
    <s v="KH001"/>
    <x v="1"/>
    <d v="2026-06-30T00:00:00"/>
    <s v="0148"/>
    <x v="0"/>
    <s v="李娜"/>
    <s v="华北"/>
    <s v="华北"/>
    <s v="CP007"/>
    <s v="无线键鼠套装 KeyFree 2.0"/>
    <n v="299"/>
    <n v="9"/>
    <n v="9"/>
    <n v="1"/>
    <s v="¥2,691.00"/>
    <n v="2691"/>
    <s v="已完成"/>
    <n v="2691"/>
  </r>
  <r>
    <s v="KH012"/>
    <s v="长沙麓山科技"/>
    <s v="长沙麓山科技"/>
    <s v="KH012"/>
    <x v="2"/>
    <d v="2026-07-01T00:00:00"/>
    <s v="0149"/>
    <x v="1"/>
    <s v="刘洋"/>
    <s v="华中"/>
    <s v="华中"/>
    <s v="CP003"/>
    <s v="碎纸机 SafeCut S8"/>
    <n v="899"/>
    <n v="3"/>
    <n v="3"/>
    <n v="1"/>
    <n v="2697"/>
    <n v="2697"/>
    <s v="已完成"/>
    <n v="2697"/>
  </r>
  <r>
    <s v="KH006"/>
    <s v="成都天府商贸"/>
    <s v="成都天府商贸"/>
    <s v="KH006"/>
    <x v="1"/>
    <d v="2026-07-02T00:00:00"/>
    <s v="0150"/>
    <x v="2"/>
    <s v="王强"/>
    <s v="西南区"/>
    <s v="西南"/>
    <s v="CP005"/>
    <s v="台式电脑 PowerDesk 500"/>
    <n v="4299"/>
    <n v="11"/>
    <n v="11"/>
    <n v="0.95"/>
    <n v="47289"/>
    <n v="47289"/>
    <s v="已完成"/>
    <n v="44924.549999999996"/>
  </r>
  <r>
    <s v="KH001"/>
    <s v="北京华信科技"/>
    <s v="北京华信科技"/>
    <s v="KH001"/>
    <x v="2"/>
    <d v="2026-07-03T00:00:00"/>
    <s v="0151"/>
    <x v="0"/>
    <s v="刘洋"/>
    <s v="华北"/>
    <s v="华北"/>
    <s v="CP002"/>
    <s v="多功能一体机 PrintMaster 300"/>
    <n v="3599"/>
    <n v="3"/>
    <n v="3"/>
    <n v="1"/>
    <n v="10797"/>
    <n v="10797"/>
    <s v="待付款"/>
    <n v="10797"/>
  </r>
  <r>
    <s v="KH010"/>
    <s v="苏州创智科技"/>
    <s v="苏州创智科技"/>
    <s v="KH010"/>
    <x v="2"/>
    <d v="2026-07-03T00:00:00"/>
    <s v="0153"/>
    <x v="0"/>
    <s v="李娜"/>
    <s v="华东"/>
    <s v="华东"/>
    <s v="CP003"/>
    <s v="碎纸机 SafeCut S8"/>
    <n v="899"/>
    <n v="7"/>
    <n v="7"/>
    <n v="1"/>
    <n v="6293"/>
    <n v="6293"/>
    <s v="已取消"/>
    <n v="6293"/>
  </r>
  <r>
    <s v="KH010"/>
    <s v="苏州创智科技"/>
    <s v="苏州创智科技"/>
    <s v="KH010"/>
    <x v="1"/>
    <d v="2026-07-05T00:00:00"/>
    <s v="0154"/>
    <x v="0"/>
    <s v="杨帆"/>
    <s v="华东"/>
    <s v="华东"/>
    <s v="CP007"/>
    <s v="无线键鼠套装 KeyFree 2.0"/>
    <n v="299"/>
    <n v="10"/>
    <n v="10"/>
    <n v="0.95"/>
    <n v="2990"/>
    <n v="2990"/>
    <s v="已完成"/>
    <n v="2840.5"/>
  </r>
  <r>
    <s v="KH006"/>
    <s v="成都天府商贸"/>
    <s v="成都天府商贸"/>
    <s v="KH006"/>
    <x v="3"/>
    <d v="2026-07-06T00:00:00"/>
    <s v="0155"/>
    <x v="2"/>
    <s v="张伟"/>
    <s v="西南区"/>
    <s v="西南"/>
    <s v="CP010"/>
    <s v="签字笔盒装（12支）"/>
    <n v="45"/>
    <s v="85"/>
    <n v="85"/>
    <n v="0.9"/>
    <n v="3825"/>
    <n v="3825"/>
    <s v="已发货"/>
    <n v="3442.5"/>
  </r>
  <r>
    <s v="KH004"/>
    <s v="深圳蓝鲸网络"/>
    <s v="深圳蓝鲸网络"/>
    <s v="KH004"/>
    <x v="1"/>
    <d v="2026-07-07T00:00:00"/>
    <s v="0156"/>
    <x v="1"/>
    <s v="陈静"/>
    <s v="华南"/>
    <s v="华南"/>
    <s v="CP006"/>
    <s v="显示器 ViewMax 27"/>
    <n v="1299"/>
    <n v="4"/>
    <n v="4"/>
    <n v="1"/>
    <n v="5196"/>
    <n v="5196"/>
    <s v="已发货"/>
    <n v="5196"/>
  </r>
  <r>
    <s v="KH011"/>
    <s v="重庆山城办公设备"/>
    <s v="重庆山城办公设备"/>
    <s v="KH011"/>
    <x v="0"/>
    <d v="2026-07-10T00:00:00"/>
    <s v="0157"/>
    <x v="1"/>
    <s v="陈静"/>
    <s v=" 西南"/>
    <s v="西南"/>
    <s v="CP012"/>
    <s v="云存储服务（1TB/年）"/>
    <n v="599"/>
    <n v="13"/>
    <n v="13"/>
    <n v="0.95"/>
    <n v="7787"/>
    <n v="7787"/>
    <s v="已发货"/>
    <n v="7397.65"/>
  </r>
  <r>
    <s v="KH001"/>
    <s v="北京华信科技"/>
    <s v="北京华信科技"/>
    <s v="KH001"/>
    <x v="2"/>
    <d v="2026-07-12T00:00:00"/>
    <s v="0158"/>
    <x v="0"/>
    <s v="孙悦"/>
    <s v="华北区"/>
    <s v="华北"/>
    <s v="CP001"/>
    <s v="激光打印机 ProLaser 200"/>
    <n v="2499"/>
    <n v="3"/>
    <n v="3"/>
    <n v="1"/>
    <n v="7122.15"/>
    <n v="7497"/>
    <s v="已发货"/>
    <n v="7497"/>
  </r>
  <r>
    <s v="KH004"/>
    <s v="深圳蓝鲸网络"/>
    <s v="深圳蓝鲸网络"/>
    <s v="KH004"/>
    <x v="3"/>
    <d v="2026-07-12T00:00:00"/>
    <s v="0159"/>
    <x v="1"/>
    <s v="孙悦"/>
    <s v="华南区"/>
    <s v="华南"/>
    <s v="CP008"/>
    <s v="A4复印纸（5包/箱）"/>
    <n v="128"/>
    <n v="30"/>
    <n v="30"/>
    <n v="0.95"/>
    <n v="3840"/>
    <n v="3840"/>
    <s v="已完成"/>
    <n v="3648"/>
  </r>
  <r>
    <s v="KH003"/>
    <s v="广州启航教育"/>
    <s v="广州启航教育"/>
    <s v="KH003"/>
    <x v="3"/>
    <d v="2026-07-16T00:00:00"/>
    <s v="0160"/>
    <x v="0"/>
    <s v="王强"/>
    <s v="华南区"/>
    <s v="华南"/>
    <s v="CP009"/>
    <s v="激光硒鼓 TonerMax 12A "/>
    <n v="385"/>
    <n v="49"/>
    <n v="49"/>
    <n v="0.95"/>
    <n v="18865"/>
    <n v="18865"/>
    <s v="已完成"/>
    <n v="17921.75"/>
  </r>
  <r>
    <s v="KH004"/>
    <s v="深圳蓝鲸网络"/>
    <s v="深圳蓝鲸网络"/>
    <s v="KH004"/>
    <x v="1"/>
    <d v="2026-07-16T00:00:00"/>
    <s v="0161"/>
    <x v="1"/>
    <s v="王强"/>
    <s v="华南"/>
    <s v="华南"/>
    <s v="CP007"/>
    <s v="无线键鼠套装 KeyFree 2.0"/>
    <n v="299"/>
    <n v="5"/>
    <n v="5"/>
    <n v="1"/>
    <s v="¥1,495.00"/>
    <n v="1495"/>
    <s v="已完成"/>
    <n v="1495"/>
  </r>
  <r>
    <s v="KH012"/>
    <s v="长沙麓山科技"/>
    <s v="长沙麓山科技"/>
    <s v="KH012"/>
    <x v="1"/>
    <d v="2026-07-16T00:00:00"/>
    <s v="0162"/>
    <x v="1"/>
    <s v="李娜"/>
    <s v="华中"/>
    <s v="华中"/>
    <s v="CP007"/>
    <s v="无线键鼠套装 KeyFree 2.0"/>
    <n v="299"/>
    <n v="2"/>
    <n v="2"/>
    <n v="1"/>
    <n v="598"/>
    <n v="598"/>
    <s v="已完成"/>
    <n v="598"/>
  </r>
  <r>
    <s v="KH005"/>
    <s v="杭州云图信息"/>
    <s v="杭州云图信息"/>
    <s v="KH005"/>
    <x v="0"/>
    <d v="2026-07-17T00:00:00"/>
    <s v="0163"/>
    <x v="0"/>
    <s v="陈静"/>
    <s v="华东区"/>
    <s v="华东"/>
    <s v="CP011"/>
    <s v="办公软件年费授权"/>
    <n v="699"/>
    <n v="26"/>
    <n v="26"/>
    <n v="0.95"/>
    <s v="¥18,174.00"/>
    <n v="18174"/>
    <s v="已完成"/>
    <n v="17265.3"/>
  </r>
  <r>
    <s v="KH008"/>
    <s v="南京紫金山软件园运营"/>
    <s v="南京紫金山软件园运营"/>
    <s v="KH008"/>
    <x v="0"/>
    <d v="2026-07-18T00:00:00"/>
    <s v="0164"/>
    <x v="2"/>
    <s v="陈静"/>
    <s v="华东"/>
    <s v="华东"/>
    <s v="CP012"/>
    <s v="云存储服务（1TB/年）"/>
    <n v="599"/>
    <n v="21"/>
    <n v="21"/>
    <n v="0.95"/>
    <n v="12579"/>
    <n v="12579"/>
    <s v="已完成"/>
    <n v="11950.05"/>
  </r>
  <r>
    <s v="KH012"/>
    <s v="长沙麓山科技"/>
    <s v="长沙麓山科技"/>
    <s v="KH012"/>
    <x v="1"/>
    <d v="2026-07-20T00:00:00"/>
    <s v="0165"/>
    <x v="1"/>
    <s v="王强"/>
    <s v="华中"/>
    <s v="华中"/>
    <s v="CP007"/>
    <s v="无线键鼠套装 KeyFree 2.0"/>
    <n v="299"/>
    <n v="6"/>
    <n v="6"/>
    <n v="1"/>
    <n v="1794"/>
    <n v="1794"/>
    <s v="已完成"/>
    <n v="1794"/>
  </r>
  <r>
    <s v="KH010"/>
    <s v="苏州创智科技"/>
    <s v="苏州创智科技"/>
    <s v="KH010"/>
    <x v="1"/>
    <d v="2026-07-20T00:00:00"/>
    <s v="0166"/>
    <x v="0"/>
    <s v="陈静"/>
    <s v="华东"/>
    <s v="华东"/>
    <s v="CP004"/>
    <s v="笔记本电脑 TechBook 14"/>
    <n v="5699"/>
    <n v="12"/>
    <n v="12"/>
    <n v="0.95"/>
    <n v="68388"/>
    <n v="68388"/>
    <s v="已发货"/>
    <n v="64968.6"/>
  </r>
  <r>
    <s v="KH015"/>
    <s v="佛山美的家电商贸"/>
    <s v="佛山美的家电商贸"/>
    <s v="KH015"/>
    <x v="1"/>
    <d v="2026-07-24T00:00:00"/>
    <s v="0167"/>
    <x v="0"/>
    <s v="杨帆"/>
    <s v="华南"/>
    <s v="华南"/>
    <s v="CP007"/>
    <s v="无线键鼠套装 KeyFree 2.0"/>
    <n v="299"/>
    <n v="12"/>
    <n v="12"/>
    <n v="0.95"/>
    <n v="3588"/>
    <n v="3588"/>
    <s v="已完成"/>
    <n v="3408.6"/>
  </r>
  <r>
    <s v="KH002"/>
    <s v="上海锦程贸易"/>
    <s v="上海锦程贸易"/>
    <s v="KH002"/>
    <x v="1"/>
    <d v="2026-07-25T00:00:00"/>
    <s v="0168"/>
    <x v="1"/>
    <s v="杨帆"/>
    <s v="华东区"/>
    <s v="华东"/>
    <s v="CP007"/>
    <s v="无线键鼠套装 KeyFree 2.0"/>
    <n v="299"/>
    <n v="10"/>
    <n v="10"/>
    <n v="0.95"/>
    <n v="2990"/>
    <n v="2990"/>
    <s v="已发货"/>
    <n v="2840.5"/>
  </r>
  <r>
    <s v="KH007"/>
    <s v="武汉长江实业"/>
    <s v="武汉长江实业"/>
    <s v="KH007"/>
    <x v="3"/>
    <d v="2026-07-25T00:00:00"/>
    <s v="0169"/>
    <x v="1"/>
    <s v="赵磊"/>
    <s v="华中"/>
    <s v="华中"/>
    <s v="CP009"/>
    <s v="激光硒鼓 TonerMax 12A"/>
    <n v="385"/>
    <n v="48"/>
    <n v="48"/>
    <n v="0.95"/>
    <n v="18480"/>
    <n v="18480"/>
    <s v="已发货"/>
    <n v="17556"/>
  </r>
  <r>
    <s v="KH006"/>
    <s v="成都天府商贸"/>
    <s v="成都天府商贸"/>
    <s v="KH006"/>
    <x v="0"/>
    <d v="2026-07-26T00:00:00"/>
    <s v="0170"/>
    <x v="2"/>
    <s v="王强"/>
    <s v="西南"/>
    <s v="西南"/>
    <s v="CP012"/>
    <s v="云存储服务（1TB/年）"/>
    <n v="599"/>
    <n v="17"/>
    <n v="17"/>
    <n v="0.95"/>
    <n v="10183"/>
    <n v="10183"/>
    <s v="已完成"/>
    <n v="9673.85"/>
  </r>
  <r>
    <s v="KH001"/>
    <s v="北京华信科技"/>
    <s v="北京华信科技"/>
    <s v="KH001"/>
    <x v="3"/>
    <d v="2026-07-26T00:00:00"/>
    <s v="0171"/>
    <x v="0"/>
    <s v="陈静"/>
    <s v="华北"/>
    <s v="华北"/>
    <s v="CP009"/>
    <s v="激光硒鼓 TonerMax 12A"/>
    <n v="385"/>
    <n v="35"/>
    <n v="35"/>
    <n v="0.95"/>
    <n v="13475"/>
    <n v="13475"/>
    <s v="已完成"/>
    <n v="12801.25"/>
  </r>
  <r>
    <s v="KH013"/>
    <s v="石家庄振华商贸"/>
    <s v="石家庄振华商贸"/>
    <s v="KH013"/>
    <x v="3"/>
    <d v="2026-07-26T00:00:00"/>
    <s v="0173"/>
    <x v="2"/>
    <s v="张伟"/>
    <s v="华北"/>
    <s v="华北"/>
    <s v="CP009"/>
    <s v="激光硒鼓 TonerMax 12A"/>
    <n v="385"/>
    <n v="104"/>
    <n v="104"/>
    <n v="0.85"/>
    <n v="40040"/>
    <n v="40040"/>
    <s v="待付款"/>
    <n v="34034"/>
  </r>
  <r>
    <s v="KH010"/>
    <s v="苏州创智科技"/>
    <s v="苏州创智科技"/>
    <s v="KH010"/>
    <x v="3"/>
    <d v="2026-07-27T00:00:00"/>
    <s v="0174"/>
    <x v="0"/>
    <s v="赵磊"/>
    <s v="华东"/>
    <s v="华东"/>
    <s v="CP008"/>
    <s v="A4复印纸（5包/箱）"/>
    <n v="128"/>
    <n v="117"/>
    <n v="117"/>
    <n v="0.85"/>
    <n v="14976"/>
    <n v="14976"/>
    <s v="已完成"/>
    <n v="12729.6"/>
  </r>
  <r>
    <s v="KH014"/>
    <s v="宁波海港实业"/>
    <s v="宁波海港实业"/>
    <s v="KH014"/>
    <x v="0"/>
    <d v="2026-07-28T00:00:00"/>
    <s v="0175"/>
    <x v="1"/>
    <s v="陈静"/>
    <s v="华东"/>
    <s v="华东"/>
    <s v="CP011"/>
    <s v="办公软件年费授权"/>
    <n v="699"/>
    <n v="34"/>
    <n v="34"/>
    <n v="0.95"/>
    <n v="23766"/>
    <n v="23766"/>
    <s v="待付款"/>
    <n v="22577.7"/>
  </r>
  <r>
    <s v="KH016"/>
    <s v="昆明滇池科技"/>
    <s v="昆明滇池科技"/>
    <s v="KH016"/>
    <x v="3"/>
    <d v="2026-07-29T00:00:00"/>
    <s v="0176"/>
    <x v="2"/>
    <s v="杨帆"/>
    <s v="西南区"/>
    <s v="西南"/>
    <s v="CP009"/>
    <s v="激光硒鼓 TonerMax 12A"/>
    <n v="385"/>
    <n v="54"/>
    <n v="54"/>
    <n v="0.9"/>
    <n v="20790"/>
    <n v="20790"/>
    <s v="已发货"/>
    <n v="18711"/>
  </r>
  <r>
    <s v="KH010"/>
    <s v="苏州创智科技"/>
    <s v="苏州创智科技"/>
    <s v="KH010"/>
    <x v="2"/>
    <d v="2026-07-29T00:00:00"/>
    <s v="0177"/>
    <x v="0"/>
    <s v="赵磊"/>
    <s v="华东"/>
    <s v="华东"/>
    <s v="CP001"/>
    <s v="激光打印机 ProLaser 200"/>
    <n v="2499"/>
    <n v="7"/>
    <n v="7"/>
    <n v="1"/>
    <n v="19242.3"/>
    <n v="17493"/>
    <s v="已发货"/>
    <n v="17493"/>
  </r>
  <r>
    <s v="KH018"/>
    <s v="厦门鹭岛文创"/>
    <s v="厦门鹭岛文创"/>
    <s v="KH018"/>
    <x v="0"/>
    <d v="2026-07-31T00:00:00"/>
    <s v="0178"/>
    <x v="2"/>
    <s v="赵磊"/>
    <s v="华南"/>
    <s v="华南"/>
    <s v="CP011"/>
    <s v="办公软件年费授权"/>
    <n v="699"/>
    <n v="17"/>
    <n v="17"/>
    <n v="0.95"/>
    <n v="11883"/>
    <n v="11883"/>
    <s v="已完成"/>
    <n v="11288.85"/>
  </r>
  <r>
    <s v="KH015"/>
    <s v="佛山美的家电商贸"/>
    <s v="佛山美的家电商贸"/>
    <s v="KH015"/>
    <x v="0"/>
    <d v="2026-08-01T00:00:00"/>
    <s v="0179"/>
    <x v="0"/>
    <s v="刘洋"/>
    <s v="华南"/>
    <s v="华南"/>
    <s v="CP011"/>
    <s v="办公软件年费授权"/>
    <n v="699"/>
    <n v="8"/>
    <n v="8"/>
    <n v="1"/>
    <n v="5032.8"/>
    <n v="5592"/>
    <s v="已完成"/>
    <n v="5592"/>
  </r>
  <r>
    <s v="KH010"/>
    <s v="苏州创智科技"/>
    <s v="苏州创智科技"/>
    <s v="KH010"/>
    <x v="1"/>
    <d v="2026-08-01T00:00:00"/>
    <s v="0180"/>
    <x v="0"/>
    <s v="赵磊"/>
    <s v="华东"/>
    <s v="华东"/>
    <s v="CP007"/>
    <s v="无线键鼠套装 KeyFree 2.0"/>
    <n v="299"/>
    <n v="3"/>
    <n v="3"/>
    <n v="1"/>
    <n v="897"/>
    <n v="897"/>
    <s v="已完成"/>
    <n v="897"/>
  </r>
  <r>
    <s v="KH007"/>
    <s v="武汉长江实业"/>
    <s v="武汉长江实业"/>
    <s v="KH007"/>
    <x v="3"/>
    <d v="2026-08-04T00:00:00"/>
    <s v="0181"/>
    <x v="1"/>
    <s v="李娜"/>
    <s v="华中"/>
    <s v="华中"/>
    <s v="CP008"/>
    <s v="A4复印纸（5包/箱）"/>
    <n v="128"/>
    <n v="22"/>
    <n v="22"/>
    <n v="0.95"/>
    <n v="2816"/>
    <n v="2816"/>
    <s v="已完成"/>
    <n v="2675.2"/>
  </r>
  <r>
    <s v="KH002"/>
    <s v="上海锦程贸易"/>
    <s v="上海锦程贸易"/>
    <s v="KH002"/>
    <x v="3"/>
    <d v="2026-08-04T00:00:00"/>
    <s v="0182"/>
    <x v="1"/>
    <s v="李娜"/>
    <s v="华东"/>
    <s v="华东"/>
    <s v="CP009"/>
    <s v="激光硒鼓 TonerMax 12A"/>
    <n v="385"/>
    <n v="91"/>
    <n v="91"/>
    <n v="0.9"/>
    <n v="35035"/>
    <n v="35035"/>
    <s v="已完成"/>
    <n v="31531.5"/>
  </r>
  <r>
    <s v="KH005"/>
    <s v="杭州云图信息"/>
    <s v="杭州云图信息"/>
    <s v="KH005"/>
    <x v="0"/>
    <d v="2026-08-05T00:00:00"/>
    <s v="0183"/>
    <x v="0"/>
    <s v="李娜"/>
    <s v="华东区"/>
    <s v="华东"/>
    <s v="CP011"/>
    <s v="办公软件年费授权"/>
    <n v="699"/>
    <n v="8"/>
    <n v="8"/>
    <n v="1"/>
    <n v="5592"/>
    <n v="5592"/>
    <s v="已发货"/>
    <n v="5592"/>
  </r>
  <r>
    <s v="KH013"/>
    <s v="石家庄振华商贸"/>
    <s v="石家庄振华商贸"/>
    <s v="KH013"/>
    <x v="1"/>
    <d v="2026-08-06T00:00:00"/>
    <s v="0184"/>
    <x v="2"/>
    <s v="李娜"/>
    <s v="华北区"/>
    <s v="华北"/>
    <s v="CP007"/>
    <s v="无线键鼠套装 KeyFree 2.0"/>
    <n v="299"/>
    <s v="7"/>
    <n v="7"/>
    <n v="1"/>
    <n v="2093"/>
    <n v="2093"/>
    <s v="已发货"/>
    <n v="2093"/>
  </r>
  <r>
    <s v="KH016"/>
    <s v="昆明滇池科技"/>
    <s v="昆明滇池科技"/>
    <s v="KH016"/>
    <x v="1"/>
    <d v="2026-08-06T00:00:00"/>
    <s v="0185"/>
    <x v="2"/>
    <s v="孙悦"/>
    <s v="西南区"/>
    <s v="西南"/>
    <s v="CP004"/>
    <s v="笔记本电脑 TechBook 14"/>
    <n v="5699"/>
    <s v="9"/>
    <n v="9"/>
    <n v="1"/>
    <n v="51291"/>
    <n v="51291"/>
    <s v="已完成"/>
    <n v="51291"/>
  </r>
  <r>
    <s v="KH003"/>
    <s v="广州启航教育"/>
    <s v="广州启航教育"/>
    <s v="KH003"/>
    <x v="2"/>
    <d v="2026-08-09T00:00:00"/>
    <s v="0186"/>
    <x v="0"/>
    <s v="王强"/>
    <s v="华南"/>
    <s v="华南"/>
    <s v="CP002"/>
    <s v="多功能一体机 PrintMaster 300"/>
    <n v="3599"/>
    <n v="4"/>
    <n v="4"/>
    <n v="1"/>
    <n v="14396"/>
    <n v="14396"/>
    <s v="已完成"/>
    <n v="14396"/>
  </r>
  <r>
    <s v="KH019"/>
    <s v="北京中关新材"/>
    <s v="北京中关新材"/>
    <s v="KH019"/>
    <x v="0"/>
    <d v="2026-08-10T00:00:00"/>
    <s v="0187"/>
    <x v="1"/>
    <s v="赵磊"/>
    <s v="华北"/>
    <s v="华北"/>
    <s v="CP012"/>
    <s v="云存储服务（1TB/年）"/>
    <n v="599"/>
    <n v="37"/>
    <n v="37"/>
    <n v="0.95"/>
    <n v="22163"/>
    <n v="22163"/>
    <s v="已发货"/>
    <n v="21054.85"/>
  </r>
  <r>
    <s v="KH003"/>
    <s v="广州启航教育"/>
    <s v="广州启航教育"/>
    <s v="KH003"/>
    <x v="2"/>
    <d v="2026-08-11T00:00:00"/>
    <s v="0188"/>
    <x v="0"/>
    <s v="赵磊"/>
    <s v="华南区"/>
    <s v="华南"/>
    <s v="CP001"/>
    <s v="激光打印机 ProLaser 200"/>
    <n v="2499"/>
    <n v="8"/>
    <n v="8"/>
    <n v="1"/>
    <n v="19992"/>
    <n v="19992"/>
    <s v="待付款"/>
    <n v="19992"/>
  </r>
  <r>
    <s v="KH001"/>
    <s v="北京华信科技"/>
    <s v="北京华信科技"/>
    <s v="KH001"/>
    <x v="3"/>
    <d v="2026-08-13T00:00:00"/>
    <s v="0189"/>
    <x v="0"/>
    <s v="孙悦"/>
    <s v="华北"/>
    <s v="华北"/>
    <s v="CP008"/>
    <s v="A4复印纸（5包/箱）"/>
    <n v="128"/>
    <n v="67"/>
    <n v="67"/>
    <n v="0.9"/>
    <n v="8576"/>
    <n v="8576"/>
    <s v="已完成"/>
    <n v="7718.4000000000005"/>
  </r>
  <r>
    <s v="KH002"/>
    <s v="上海锦程贸易"/>
    <s v="上海锦程贸易"/>
    <s v="KH002"/>
    <x v="2"/>
    <d v="2026-08-13T00:00:00"/>
    <s v="0190"/>
    <x v="1"/>
    <s v="赵磊"/>
    <s v="华东"/>
    <s v="华东"/>
    <s v="CP001"/>
    <s v="激光打印机 ProLaser 200"/>
    <n v="2499"/>
    <n v="3"/>
    <n v="3"/>
    <n v="1"/>
    <n v="6747.3"/>
    <n v="7497"/>
    <s v="已发货"/>
    <n v="7497"/>
  </r>
  <r>
    <s v="KH005"/>
    <s v="杭州云图信息"/>
    <s v="杭州云图信息"/>
    <s v="KH005"/>
    <x v="3"/>
    <d v="2026-08-14T00:00:00"/>
    <s v="0191"/>
    <x v="0"/>
    <s v="赵磊"/>
    <s v="华东区"/>
    <s v="华东"/>
    <s v="CP008"/>
    <s v="A4复印纸（5包/箱）"/>
    <n v="128"/>
    <n v="41"/>
    <n v="41"/>
    <n v="0.95"/>
    <n v="5248"/>
    <n v="5248"/>
    <s v="已完成"/>
    <n v="4985.5999999999995"/>
  </r>
  <r>
    <s v="KH019"/>
    <s v="北京中关新材"/>
    <s v="北京中关新材"/>
    <s v="KH019"/>
    <x v="2"/>
    <d v="2026-08-15T00:00:00"/>
    <s v="0192"/>
    <x v="1"/>
    <s v="陈静"/>
    <s v="华北区"/>
    <s v="华北"/>
    <s v="CP001"/>
    <s v="激光打印机 ProLaser 200"/>
    <n v="2499"/>
    <n v="3"/>
    <n v="3"/>
    <n v="1"/>
    <n v="7497"/>
    <n v="7497"/>
    <s v="已完成"/>
    <n v="7497"/>
  </r>
  <r>
    <s v="KH015"/>
    <s v="佛山美的家电商贸"/>
    <s v="佛山美的家电商贸"/>
    <s v="KH015"/>
    <x v="3"/>
    <d v="2026-08-15T00:00:00"/>
    <s v="0193"/>
    <x v="0"/>
    <s v="刘洋"/>
    <s v="华南 "/>
    <s v="华南"/>
    <s v="CP010"/>
    <s v="签字笔盒装（12支）"/>
    <n v="45"/>
    <n v="98"/>
    <n v="98"/>
    <n v="0.9"/>
    <n v="4410"/>
    <n v="4410"/>
    <s v="已完成"/>
    <n v="3969"/>
  </r>
  <r>
    <s v="KH015"/>
    <s v="佛山美的家电商贸"/>
    <s v="佛山美的家电商贸"/>
    <s v="KH015"/>
    <x v="1"/>
    <d v="2026-08-15T00:00:00"/>
    <s v="0194"/>
    <x v="0"/>
    <s v="李娜"/>
    <s v="华南"/>
    <s v="华南"/>
    <s v="CP007"/>
    <s v="无线键鼠套装 KeyFree 2.0"/>
    <n v="299"/>
    <n v="11"/>
    <n v="11"/>
    <n v="0.95"/>
    <n v="3289"/>
    <n v="3289"/>
    <s v="已完成"/>
    <n v="3124.5499999999997"/>
  </r>
  <r>
    <s v="KH012"/>
    <s v="长沙麓山科技"/>
    <s v="长沙麓山科技"/>
    <s v="KH012"/>
    <x v="1"/>
    <d v="2026-08-15T00:00:00"/>
    <s v="0195"/>
    <x v="1"/>
    <s v="陈静"/>
    <s v="华中"/>
    <s v="华中"/>
    <s v="CP006"/>
    <s v="显示器 ViewMax 27"/>
    <n v="1299"/>
    <n v="10"/>
    <n v="10"/>
    <n v="0.95"/>
    <n v="12990"/>
    <n v="12990"/>
    <s v="已完成"/>
    <n v="12340.5"/>
  </r>
  <r>
    <s v="KH010"/>
    <s v="苏州创智科技"/>
    <s v="苏州创智科技"/>
    <s v="KH010"/>
    <x v="1"/>
    <d v="2026-08-17T00:00:00"/>
    <s v="0197"/>
    <x v="0"/>
    <s v="陈静"/>
    <s v="华东"/>
    <s v="华东"/>
    <s v="CP005"/>
    <s v="台式电脑 PowerDesk 500"/>
    <n v="4299"/>
    <n v="8"/>
    <n v="8"/>
    <n v="1"/>
    <n v="34392"/>
    <n v="34392"/>
    <s v="已完成"/>
    <n v="34392"/>
  </r>
  <r>
    <s v="KH017"/>
    <s v="郑州中原物流"/>
    <s v="郑州中原物流"/>
    <s v="KH017"/>
    <x v="1"/>
    <d v="2026-08-17T00:00:00"/>
    <s v="0198"/>
    <x v="1"/>
    <s v="孙悦"/>
    <s v="华中区"/>
    <s v="华中"/>
    <s v="CP005"/>
    <s v="台式电脑 PowerDesk 500"/>
    <n v="4299"/>
    <n v="12"/>
    <n v="12"/>
    <n v="0.95"/>
    <n v="51588"/>
    <n v="51588"/>
    <s v="已完成"/>
    <n v="49008.6"/>
  </r>
  <r>
    <s v="KH016"/>
    <s v="昆明滇池科技"/>
    <s v="昆明滇池科技"/>
    <s v="KH016"/>
    <x v="1"/>
    <d v="2026-08-18T00:00:00"/>
    <s v="0199"/>
    <x v="2"/>
    <s v="陈静"/>
    <s v="西南"/>
    <s v="西南"/>
    <s v="CP006"/>
    <s v="显示器 ViewMax 27"/>
    <n v="1299"/>
    <n v="5"/>
    <n v="5"/>
    <n v="1"/>
    <n v="6495"/>
    <n v="6495"/>
    <s v="已完成"/>
    <n v="6495"/>
  </r>
  <r>
    <s v="KH012"/>
    <s v="长沙麓山科技"/>
    <s v="长沙麓山科技"/>
    <s v="KH012"/>
    <x v="2"/>
    <d v="2026-08-20T00:00:00"/>
    <s v="0200"/>
    <x v="1"/>
    <s v="杨帆"/>
    <s v="华中 "/>
    <s v="华中"/>
    <s v="CP001"/>
    <s v="激光打印机 ProLaser 200"/>
    <n v="2499"/>
    <n v="4"/>
    <n v="4"/>
    <n v="1"/>
    <s v="¥9,996.00"/>
    <n v="9996"/>
    <s v="已发货"/>
    <n v="999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DD-20260101-0001"/>
    <d v="2026-01-01T00:00:00"/>
    <s v="2026-01-01"/>
    <s v="KH003"/>
    <s v="广州启航教育"/>
    <s v="广州启航教育"/>
    <s v="KH003"/>
    <s v="软件服务"/>
    <x v="0"/>
    <s v="0001"/>
    <s v="A"/>
    <s v="孙悦"/>
    <s v=" 华南"/>
    <x v="0"/>
    <s v="CP011"/>
    <s v="办公软件年费授权"/>
    <n v="699"/>
    <m/>
    <n v="11"/>
    <n v="0.95"/>
    <n v="7689"/>
    <n v="7689"/>
    <s v="已取消"/>
    <n v="7304.5499999999993"/>
    <n v="300"/>
    <n v="0.54822679015134401"/>
  </r>
  <r>
    <s v="DD-20260103-0002"/>
    <d v="2026-01-03T00:00:00"/>
    <s v="2026-01-03"/>
    <s v="KH002"/>
    <s v="上海锦程贸易"/>
    <s v="上海锦程贸易"/>
    <s v="KH002"/>
    <s v="电子数码"/>
    <x v="1"/>
    <s v="0002"/>
    <s v="B"/>
    <s v="李娜"/>
    <s v="华东"/>
    <x v="1"/>
    <s v="CP007"/>
    <s v="无线键鼠套装 KeyFree 2.0"/>
    <n v="299"/>
    <n v="9"/>
    <n v="9"/>
    <n v="1"/>
    <n v="2691"/>
    <n v="2691"/>
    <s v="已发货"/>
    <n v="2691"/>
    <n v="190"/>
    <n v="0.36454849498327757"/>
  </r>
  <r>
    <s v="DD-20260103-0003"/>
    <d v="2026-01-03T00:00:00"/>
    <s v="2026-01-03"/>
    <s v="KH003"/>
    <s v="广州启航教育"/>
    <s v="广州启航教育"/>
    <s v="KH003"/>
    <s v="办公设备"/>
    <x v="1"/>
    <s v="0003"/>
    <s v="A"/>
    <s v="陈静"/>
    <s v="华南"/>
    <x v="0"/>
    <s v="CP003"/>
    <s v="碎纸机 SafeCut S8"/>
    <n v="899"/>
    <s v="1"/>
    <n v="1"/>
    <n v="1"/>
    <n v="899"/>
    <n v="899"/>
    <s v="已发货"/>
    <n v="899"/>
    <n v="620"/>
    <n v="0.31034482758620691"/>
  </r>
  <r>
    <s v="DD-20260107-0004"/>
    <s v="2026年1月7日"/>
    <s v="2026-01-07"/>
    <s v="KH012"/>
    <s v="长沙麓山科技"/>
    <s v="长沙麓山科技"/>
    <s v="KH012"/>
    <s v="办公设备"/>
    <x v="2"/>
    <s v="0004"/>
    <s v="B"/>
    <s v="孙悦"/>
    <s v="华中区"/>
    <x v="2"/>
    <s v="CP003"/>
    <s v="碎纸机 SafeCut S8"/>
    <n v="899"/>
    <n v="6"/>
    <n v="6"/>
    <n v="1"/>
    <n v="5394"/>
    <n v="5394"/>
    <s v="已发货"/>
    <n v="5394"/>
    <n v="620"/>
    <n v="0.31034482758620691"/>
  </r>
  <r>
    <s v="DD-20260107-0005"/>
    <d v="2026-01-07T00:00:00"/>
    <s v="2026-01-07"/>
    <s v="KH019"/>
    <s v="北京中关新材"/>
    <s v="北京中关新材"/>
    <s v="KH019"/>
    <s v="办公耗材"/>
    <x v="2"/>
    <s v="0005"/>
    <s v="B"/>
    <s v="王强"/>
    <s v="华北"/>
    <x v="3"/>
    <s v="CP008"/>
    <s v="A4复印纸（5包/箱）"/>
    <n v="128"/>
    <n v="70"/>
    <n v="70"/>
    <n v="0.9"/>
    <n v="8960"/>
    <n v="8960"/>
    <s v="已取消"/>
    <n v="8064"/>
    <n v="95"/>
    <n v="0.17534722222222221"/>
  </r>
  <r>
    <s v="DD-20260109-0006"/>
    <d v="2026-01-09T00:00:00"/>
    <s v="2026-01-09"/>
    <s v="KH017"/>
    <s v="郑州中原物流"/>
    <s v="郑州中原物流"/>
    <s v="KH017"/>
    <s v="办公耗材"/>
    <x v="3"/>
    <s v="0006"/>
    <s v="B"/>
    <s v="赵磊"/>
    <s v="华中"/>
    <x v="2"/>
    <s v="CP008"/>
    <s v="A4复印纸（5包/箱）"/>
    <n v="128"/>
    <s v="20"/>
    <n v="20"/>
    <n v="0.95"/>
    <n v="2560"/>
    <n v="2560"/>
    <s v="已发货"/>
    <n v="2432"/>
    <n v="95"/>
    <n v="0.21875"/>
  </r>
  <r>
    <s v="DD-20260109-0007"/>
    <d v="2026-01-09T00:00:00"/>
    <s v="2026-01-09"/>
    <s v="KH019"/>
    <s v="北京中关新材"/>
    <s v="北京中关新材"/>
    <s v="KH019"/>
    <s v="办公耗材"/>
    <x v="3"/>
    <s v="0007"/>
    <s v="B"/>
    <s v="陈静"/>
    <s v="华北"/>
    <x v="3"/>
    <s v="CP010"/>
    <s v="签字笔盒装（12支）"/>
    <n v="45"/>
    <n v="85"/>
    <n v="85"/>
    <n v="0.9"/>
    <n v="3825"/>
    <n v="3825"/>
    <s v="已完成"/>
    <n v="3442.5"/>
    <n v="28"/>
    <n v="0.30864197530864196"/>
  </r>
  <r>
    <s v="DD-20260113-0008"/>
    <d v="2026-01-13T00:00:00"/>
    <s v="2026-01-13"/>
    <s v="KH007"/>
    <s v="武汉长江实业"/>
    <s v="武汉长江实业"/>
    <s v="KH007"/>
    <s v="办公设备"/>
    <x v="4"/>
    <s v="0008"/>
    <s v="B"/>
    <s v="赵磊"/>
    <s v="华中"/>
    <x v="2"/>
    <s v="CP003"/>
    <s v="碎纸机 SafeCut S8"/>
    <n v="899"/>
    <n v="4"/>
    <n v="4"/>
    <n v="1"/>
    <n v="3596"/>
    <n v="3596"/>
    <s v="已完成"/>
    <n v="3596"/>
    <n v="620"/>
    <n v="0.31034482758620691"/>
  </r>
  <r>
    <s v="DD-20260117-0009"/>
    <d v="2026-01-17T00:00:00"/>
    <s v="2026-01-17"/>
    <s v="KH002"/>
    <s v="上海锦程贸易"/>
    <s v="上海锦程贸易"/>
    <s v="KH002"/>
    <s v="软件服务"/>
    <x v="5"/>
    <s v="0009"/>
    <s v="B"/>
    <s v="杨帆"/>
    <s v="华东"/>
    <x v="1"/>
    <s v="CP011"/>
    <s v="办公软件年费授权"/>
    <n v="699"/>
    <n v="5"/>
    <n v="5"/>
    <n v="1"/>
    <n v="3495"/>
    <n v="3495"/>
    <s v="已发货"/>
    <n v="3495"/>
    <n v="300"/>
    <n v="0.57081545064377681"/>
  </r>
  <r>
    <s v="DD-20260120-0010"/>
    <d v="2026-01-20T00:00:00"/>
    <s v="2026-01-20"/>
    <s v="KH019"/>
    <s v="北京中关新材"/>
    <s v="北京中关新材"/>
    <s v="KH019"/>
    <s v="软件服务"/>
    <x v="6"/>
    <s v="0010"/>
    <s v="B"/>
    <s v="孙悦"/>
    <s v="华北"/>
    <x v="3"/>
    <s v="CP012"/>
    <s v="云存储服务（1TB/年） "/>
    <n v="599"/>
    <n v="3"/>
    <n v="3"/>
    <n v="1"/>
    <n v="1797"/>
    <n v="1797"/>
    <s v="已完成"/>
    <n v="1797"/>
    <n v="250"/>
    <n v="0.58263772954924875"/>
  </r>
  <r>
    <s v="DD-20260121-0011"/>
    <d v="2026-01-21T00:00:00"/>
    <s v="2026-01-21"/>
    <s v="KH005"/>
    <s v="杭州云图信息"/>
    <s v="杭州云图信息"/>
    <s v="KH005"/>
    <s v="电子数码"/>
    <x v="7"/>
    <s v="0011"/>
    <s v="A"/>
    <s v="孙悦"/>
    <s v="华东"/>
    <x v="1"/>
    <s v="CP006"/>
    <s v="显示器 ViewMax 27"/>
    <n v="1299"/>
    <n v="2"/>
    <n v="2"/>
    <n v="1"/>
    <n v="2598"/>
    <n v="2598"/>
    <s v="已取消"/>
    <n v="2598"/>
    <n v="950"/>
    <n v="0.26866820631254812"/>
  </r>
  <r>
    <s v="DD-20260123-0012"/>
    <d v="2026-01-23T00:00:00"/>
    <s v="2026-01-23"/>
    <s v="KH011"/>
    <s v="重庆山城办公设备"/>
    <s v="重庆山城办公设备"/>
    <s v="KH011"/>
    <s v="软件服务"/>
    <x v="8"/>
    <s v="0012"/>
    <s v="B"/>
    <s v="刘洋"/>
    <s v="西南"/>
    <x v="4"/>
    <s v="CP011"/>
    <s v="办公软件年费授权"/>
    <n v="699"/>
    <s v="11"/>
    <n v="11"/>
    <n v="0.95"/>
    <n v="7689"/>
    <n v="7689"/>
    <s v="已完成"/>
    <n v="7304.5499999999993"/>
    <n v="300"/>
    <n v="0.54822679015134401"/>
  </r>
  <r>
    <s v="DD-20260124-0013"/>
    <d v="2026-01-24T00:00:00"/>
    <s v="2026-01-24"/>
    <s v="KH006"/>
    <s v="成都天府商贸"/>
    <s v="成都天府商贸"/>
    <s v="KH006"/>
    <s v="办公耗材"/>
    <x v="9"/>
    <s v="0013"/>
    <s v="C"/>
    <s v="李娜"/>
    <s v="西南"/>
    <x v="4"/>
    <s v="CP009"/>
    <s v="激光硒鼓 TonerMax 12A"/>
    <n v="385"/>
    <n v="96"/>
    <n v="96"/>
    <n v="0.9"/>
    <n v="36960"/>
    <n v="36960"/>
    <s v="已完成"/>
    <n v="33264"/>
    <n v="260"/>
    <n v="0.24963924963924963"/>
  </r>
  <r>
    <s v="DD-20260125-0014"/>
    <d v="2026-01-25T00:00:00"/>
    <s v="2026-01-25"/>
    <s v="KH001"/>
    <s v="北京华信科技"/>
    <s v="北京华信科技"/>
    <s v="KH001"/>
    <s v="办公耗材"/>
    <x v="10"/>
    <s v="0014"/>
    <s v="A"/>
    <s v="张伟"/>
    <s v="华北"/>
    <x v="3"/>
    <s v="CP009"/>
    <s v="激光硒鼓 TonerMax 12A"/>
    <n v="385"/>
    <s v="32"/>
    <n v="32"/>
    <n v="0.95"/>
    <n v="12320"/>
    <n v="12320"/>
    <s v="已发货"/>
    <n v="11704"/>
    <n v="260"/>
    <n v="0.28913192071086807"/>
  </r>
  <r>
    <s v="DD-20260126-0015"/>
    <d v="2026-01-26T00:00:00"/>
    <s v="2026-01-26"/>
    <s v="KH019"/>
    <s v="北京中关新材"/>
    <s v="北京中关新材"/>
    <s v="KH019"/>
    <s v="办公设备"/>
    <x v="11"/>
    <s v="0015"/>
    <s v="B"/>
    <s v="孙悦"/>
    <s v="华北"/>
    <x v="3"/>
    <s v="CP001"/>
    <s v="激光打印机 ProLaser 200"/>
    <n v="2499"/>
    <m/>
    <n v="4"/>
    <n v="1"/>
    <n v="9996"/>
    <n v="9996"/>
    <s v="已发货"/>
    <n v="9996"/>
    <n v="1850"/>
    <n v="0.25970388155262103"/>
  </r>
  <r>
    <s v="DD-20260816-0196"/>
    <d v="2026-08-16T00:00:00"/>
    <s v="2026-08-16"/>
    <s v="KH016"/>
    <s v="昆明滇池科技"/>
    <s v="昆明滇池科技"/>
    <s v="KH016"/>
    <s v="办公耗材"/>
    <x v="12"/>
    <s v="0196"/>
    <s v="C"/>
    <s v="赵磊"/>
    <s v="西南区"/>
    <x v="4"/>
    <s v="CP008"/>
    <s v="A4复印纸（5包/箱）"/>
    <n v="128"/>
    <n v="77"/>
    <n v="77"/>
    <n v="0.9"/>
    <n v="9856"/>
    <n v="9856"/>
    <s v="已完成"/>
    <n v="8870.4"/>
    <n v="95"/>
    <n v="0.17534722222222218"/>
  </r>
  <r>
    <s v="DD-20260126-0016"/>
    <d v="2026-01-26T00:00:00"/>
    <s v="2026-01-26"/>
    <s v="KH017"/>
    <s v="郑州中原物流"/>
    <s v="郑州中原物流"/>
    <s v="KH017"/>
    <s v="办公设备"/>
    <x v="11"/>
    <s v="0016"/>
    <s v="B"/>
    <s v="王强"/>
    <s v="华中区"/>
    <x v="2"/>
    <s v="CP003"/>
    <s v="碎纸机 SafeCut S8"/>
    <n v="899"/>
    <n v="4"/>
    <n v="4"/>
    <n v="1"/>
    <n v="3596"/>
    <n v="3596"/>
    <s v="已完成"/>
    <n v="3596"/>
    <n v="620"/>
    <n v="0.31034482758620691"/>
  </r>
  <r>
    <s v="DD-20260127-0017"/>
    <d v="2026-01-27T00:00:00"/>
    <s v="2026-01-27"/>
    <s v="KH017"/>
    <s v="郑州中原物流"/>
    <s v="郑州中原物流"/>
    <s v="KH017"/>
    <s v="电子数码"/>
    <x v="13"/>
    <s v="0017"/>
    <s v="B"/>
    <s v="赵磊"/>
    <s v="华中"/>
    <x v="2"/>
    <s v="CP007"/>
    <s v="无线键鼠套装 KeyFree 2.0"/>
    <n v="299"/>
    <n v="7"/>
    <n v="7"/>
    <n v="1"/>
    <n v="2093"/>
    <n v="2093"/>
    <s v="待付款"/>
    <n v="2093"/>
    <n v="190"/>
    <n v="0.36454849498327757"/>
  </r>
  <r>
    <s v="DD-20260127-0018"/>
    <d v="2026-01-27T00:00:00"/>
    <s v="2026-01-27"/>
    <s v="KH007"/>
    <s v="武汉长江实业"/>
    <s v="武汉长江实业"/>
    <s v="KH007"/>
    <s v="电子数码"/>
    <x v="13"/>
    <s v="0018"/>
    <s v="B"/>
    <s v="陈静"/>
    <s v="华中"/>
    <x v="2"/>
    <s v="CP004"/>
    <s v="笔记本电脑 TechBook 14 "/>
    <n v="5699"/>
    <n v="3"/>
    <n v="3"/>
    <n v="1"/>
    <n v="17097"/>
    <n v="17097"/>
    <s v="已完成"/>
    <n v="17097"/>
    <n v="4800"/>
    <n v="0.15774697315318478"/>
  </r>
  <r>
    <s v="DD-20260129-0019"/>
    <d v="2026-01-29T00:00:00"/>
    <s v="2026-01-29"/>
    <s v="KH020"/>
    <s v="合肥科大国创"/>
    <s v="合肥科大国创"/>
    <s v="KH020"/>
    <s v="软件服务"/>
    <x v="14"/>
    <s v="0019"/>
    <s v="C"/>
    <s v="孙悦"/>
    <s v="华东"/>
    <x v="1"/>
    <s v="CP011"/>
    <s v="办公软件年费授权 "/>
    <n v="699"/>
    <n v="20"/>
    <n v="20"/>
    <n v="0.95"/>
    <n v="13980"/>
    <n v="13980"/>
    <s v="已完成"/>
    <n v="13281"/>
    <n v="300"/>
    <n v="0.54822679015134401"/>
  </r>
  <r>
    <s v="DD-20260130-0020"/>
    <d v="2026-01-30T00:00:00"/>
    <s v="2026-01-30"/>
    <s v="KH010"/>
    <s v="苏州创智科技"/>
    <s v="苏州创智科技"/>
    <s v="KH010"/>
    <s v="电子数码"/>
    <x v="15"/>
    <s v="0020"/>
    <s v="A"/>
    <s v="陈静"/>
    <s v="华东"/>
    <x v="1"/>
    <s v="CP007"/>
    <s v="无线键鼠套装 KeyFree 2.0"/>
    <n v="299"/>
    <n v="9"/>
    <n v="9"/>
    <n v="1"/>
    <s v="¥2,691.00"/>
    <n v="2691"/>
    <s v="待付款"/>
    <n v="2691"/>
    <n v="190"/>
    <n v="0.36454849498327757"/>
  </r>
  <r>
    <s v="DD-20260131-0021"/>
    <d v="2026-01-31T00:00:00"/>
    <s v="2026-01-31"/>
    <s v="KH017"/>
    <s v="郑州中原物流"/>
    <s v="郑州中原物流"/>
    <s v="KH017"/>
    <s v="电子数码"/>
    <x v="16"/>
    <s v="0021"/>
    <s v="B"/>
    <s v="孙悦"/>
    <s v="华中"/>
    <x v="2"/>
    <s v="CP004"/>
    <s v="笔记本电脑 TechBook 14"/>
    <n v="5699"/>
    <n v="2"/>
    <n v="2"/>
    <n v="1"/>
    <n v="11398"/>
    <n v="11398"/>
    <s v="已发货"/>
    <n v="11398"/>
    <n v="4800"/>
    <n v="0.15774697315318478"/>
  </r>
  <r>
    <s v="DD-20260201-0022"/>
    <d v="2026-02-01T00:00:00"/>
    <s v="2026-02-01"/>
    <s v="KH007"/>
    <s v="武汉长江实业"/>
    <s v="武汉长江实业"/>
    <s v="KH007"/>
    <s v="办公耗材"/>
    <x v="17"/>
    <s v="0022"/>
    <s v="B"/>
    <s v="王强"/>
    <s v="华中"/>
    <x v="2"/>
    <s v="CP010"/>
    <s v="签字笔盒装（12支）"/>
    <n v="45"/>
    <n v="118"/>
    <n v="118"/>
    <n v="0.85"/>
    <n v="5310"/>
    <n v="5310"/>
    <s v="已取消"/>
    <n v="4513.5"/>
    <n v="28"/>
    <n v="0.26797385620915032"/>
  </r>
  <r>
    <s v="DD-20260203-0023"/>
    <d v="2026-02-03T00:00:00"/>
    <s v="2026-02-03"/>
    <s v="KH006"/>
    <s v="成都天府商贸"/>
    <s v="成都天府商贸"/>
    <s v="KH006"/>
    <s v="办公设备"/>
    <x v="18"/>
    <s v="0023"/>
    <s v="C"/>
    <s v="李娜"/>
    <s v="西南"/>
    <x v="4"/>
    <s v="CP003"/>
    <s v="碎纸机 SafeCut S8"/>
    <n v="899"/>
    <n v="4"/>
    <n v="4"/>
    <n v="1"/>
    <n v="3596"/>
    <n v="3596"/>
    <s v="已发货"/>
    <n v="3596"/>
    <n v="620"/>
    <n v="0.31034482758620691"/>
  </r>
  <r>
    <s v="DD-20260206-0024"/>
    <d v="2026-02-06T00:00:00"/>
    <s v="2026-02-06"/>
    <s v="KH005"/>
    <s v="杭州云图信息"/>
    <s v="杭州云图信息"/>
    <s v="KH005"/>
    <s v="办公耗材"/>
    <x v="19"/>
    <s v="0024"/>
    <s v="A"/>
    <s v="刘洋"/>
    <s v="华东"/>
    <x v="1"/>
    <s v="CP010"/>
    <s v="签字笔盒装（12支）"/>
    <n v="45"/>
    <n v="103"/>
    <n v="103"/>
    <n v="0.85"/>
    <n v="4635"/>
    <n v="4635"/>
    <s v="已完成"/>
    <n v="3939.75"/>
    <n v="28"/>
    <n v="0.26797385620915032"/>
  </r>
  <r>
    <s v="DD-20260703-0152"/>
    <d v="2026-07-03T00:00:00"/>
    <s v="2026-07-03"/>
    <s v="KH009"/>
    <s v="天津海河传媒"/>
    <s v="天津海河传媒"/>
    <s v="KH009"/>
    <s v="办公耗材"/>
    <x v="20"/>
    <s v="0152"/>
    <s v="C"/>
    <s v="杨帆"/>
    <s v="华北区"/>
    <x v="3"/>
    <s v="CP009"/>
    <s v="激光硒鼓 TonerMax 12A"/>
    <n v="385"/>
    <n v="97"/>
    <n v="97"/>
    <n v="0.9"/>
    <n v="37345"/>
    <n v="37345"/>
    <s v="已完成"/>
    <n v="33610.5"/>
    <n v="260"/>
    <n v="0.24963924963924963"/>
  </r>
  <r>
    <s v="DD-20260206-0025"/>
    <d v="2026-02-06T00:00:00"/>
    <s v="2026-02-06"/>
    <s v="KH011"/>
    <s v="重庆山城办公设备"/>
    <s v="重庆山城办公设备"/>
    <s v="KH011"/>
    <s v="办公耗材"/>
    <x v="19"/>
    <s v="0025"/>
    <s v="B"/>
    <s v="李娜"/>
    <s v="西南"/>
    <x v="4"/>
    <s v="CP009"/>
    <s v="激光硒鼓 TonerMax 12A"/>
    <n v="385"/>
    <n v="26"/>
    <n v="26"/>
    <n v="0.95"/>
    <n v="10010"/>
    <n v="10010"/>
    <s v="待付款"/>
    <n v="9509.5"/>
    <n v="260"/>
    <n v="0.28913192071086807"/>
  </r>
  <r>
    <s v="DD-20260208-0026"/>
    <d v="2026-02-08T00:00:00"/>
    <s v="2026-02-08"/>
    <s v="KH002"/>
    <s v="上海锦程贸易"/>
    <s v="上海锦程贸易"/>
    <s v="KH002"/>
    <s v="电子数码"/>
    <x v="21"/>
    <s v="0026"/>
    <s v="B"/>
    <s v="张伟"/>
    <s v="华东"/>
    <x v="1"/>
    <s v="CP007"/>
    <s v="无线键鼠套装 KeyFree 2.0"/>
    <n v="299"/>
    <n v="2"/>
    <n v="2"/>
    <n v="1"/>
    <n v="598"/>
    <n v="598"/>
    <s v="已发货"/>
    <n v="598"/>
    <n v="190"/>
    <n v="0.36454849498327757"/>
  </r>
  <r>
    <s v="DD-20260216-0027"/>
    <d v="2026-02-16T00:00:00"/>
    <s v="2026-02-16"/>
    <s v="KH014"/>
    <s v="宁波海港实业"/>
    <s v="宁波海港实业"/>
    <s v="KH014"/>
    <s v="电子数码"/>
    <x v="22"/>
    <s v="0027"/>
    <s v="B"/>
    <s v="李娜"/>
    <s v="华东区"/>
    <x v="1"/>
    <s v="CP004"/>
    <s v="笔记本电脑 TechBook 14"/>
    <n v="5699"/>
    <n v="11"/>
    <n v="11"/>
    <n v="0.95"/>
    <s v="¥62,689.00"/>
    <n v="62689"/>
    <s v="已完成"/>
    <n v="59554.549999999996"/>
    <n v="4800"/>
    <n v="0.11341786647703653"/>
  </r>
  <r>
    <s v="DD-20260221-0028"/>
    <s v="2026.2.21"/>
    <s v="2026-02-21"/>
    <s v="KH005"/>
    <s v="杭州云图信息"/>
    <s v="杭州云图信息"/>
    <s v="KH005"/>
    <s v="软件服务"/>
    <x v="23"/>
    <s v="0028"/>
    <s v="A"/>
    <s v="杨帆"/>
    <s v="华东"/>
    <x v="1"/>
    <s v="CP011"/>
    <s v="办公软件年费授权"/>
    <n v="699"/>
    <n v="20"/>
    <n v="20"/>
    <n v="0.95"/>
    <n v="13980"/>
    <n v="13980"/>
    <s v="已完成"/>
    <n v="13281"/>
    <n v="300"/>
    <n v="0.54822679015134401"/>
  </r>
  <r>
    <s v="DD-20260221-0029"/>
    <d v="2026-02-21T00:00:00"/>
    <s v="2026-02-21"/>
    <s v="KH005"/>
    <s v="杭州云图信息"/>
    <s v="杭州云图信息"/>
    <s v="KH005"/>
    <s v="办公设备"/>
    <x v="23"/>
    <s v="0029"/>
    <s v="A"/>
    <s v="赵磊"/>
    <s v="华东"/>
    <x v="1"/>
    <s v="CP001"/>
    <s v="激光打印机 ProLaser 200"/>
    <n v="2499"/>
    <n v="5"/>
    <n v="5"/>
    <n v="1"/>
    <n v="12495"/>
    <n v="12495"/>
    <s v="已取消"/>
    <n v="12495"/>
    <n v="1850"/>
    <n v="0.25970388155262103"/>
  </r>
  <r>
    <s v="DD-20260512-0102"/>
    <d v="2026-05-12T00:00:00"/>
    <s v="2026-05-12"/>
    <s v="KH014"/>
    <s v="宁波海港实业"/>
    <s v="宁波海港实业"/>
    <s v="KH014"/>
    <s v="电子数码"/>
    <x v="24"/>
    <s v="0102"/>
    <s v="B"/>
    <s v="王强"/>
    <s v="华东"/>
    <x v="1"/>
    <s v="CP004"/>
    <s v="笔记本电脑 TechBook 14"/>
    <n v="5699"/>
    <n v="13"/>
    <n v="13"/>
    <n v="0.95"/>
    <n v="74087"/>
    <n v="74087"/>
    <s v="已发货"/>
    <n v="70382.649999999994"/>
    <n v="4800"/>
    <n v="0.11341786647703653"/>
  </r>
  <r>
    <s v="DD-20260223-0030"/>
    <d v="2026-02-23T00:00:00"/>
    <s v="2026-02-23"/>
    <s v="KH001"/>
    <s v="北京华信科技"/>
    <s v="北京华信科技"/>
    <s v="KH001"/>
    <s v="电子数码"/>
    <x v="25"/>
    <s v="0030"/>
    <s v="A"/>
    <s v="李娜"/>
    <s v="华北"/>
    <x v="3"/>
    <s v="CP004"/>
    <s v="笔记本电脑 TechBook 14"/>
    <n v="5699"/>
    <s v="5"/>
    <n v="5"/>
    <n v="1"/>
    <n v="28495"/>
    <n v="28495"/>
    <s v="已完成"/>
    <n v="28495"/>
    <n v="4800"/>
    <n v="0.15774697315318478"/>
  </r>
  <r>
    <s v="DD-20260227-0031"/>
    <d v="2026-02-27T00:00:00"/>
    <s v="2026-02-27"/>
    <s v="KH011"/>
    <s v="重庆山城办公设备"/>
    <s v="重庆山城办公设备"/>
    <s v="KH011"/>
    <s v="软件服务"/>
    <x v="26"/>
    <s v="0031"/>
    <s v="B"/>
    <s v="杨帆"/>
    <s v="西南"/>
    <x v="4"/>
    <s v="CP012"/>
    <s v="云存储服务（1TB/年）"/>
    <n v="599"/>
    <n v="24"/>
    <n v="24"/>
    <n v="0.95"/>
    <n v="14376"/>
    <n v="14376"/>
    <s v="已发货"/>
    <n v="13657.199999999999"/>
    <n v="250"/>
    <n v="0.56067129426236706"/>
  </r>
  <r>
    <s v="DD-20260308-0037"/>
    <d v="2026-03-08T00:00:00"/>
    <s v="2026-03-08"/>
    <s v="KH008"/>
    <s v="南京紫金山软件园运营"/>
    <s v="南京紫金山软件园运营"/>
    <s v="KH008"/>
    <s v="办公耗材"/>
    <x v="27"/>
    <s v="0037"/>
    <s v="C"/>
    <s v="杨帆"/>
    <s v="华东"/>
    <x v="1"/>
    <s v="CP008"/>
    <s v="A4复印纸（5包/箱）"/>
    <n v="128"/>
    <n v="12"/>
    <n v="12"/>
    <n v="0.95"/>
    <n v="1536"/>
    <n v="1536"/>
    <s v="已完成"/>
    <n v="1459.1999999999998"/>
    <n v="95"/>
    <n v="0.21874999999999989"/>
  </r>
  <r>
    <s v="DD-20260227-0032"/>
    <s v="2026/2/27"/>
    <s v="2026-02-27"/>
    <s v="KH012"/>
    <s v="长沙麓山科技"/>
    <s v="长沙麓山科技"/>
    <s v="KH012"/>
    <s v="办公耗材"/>
    <x v="26"/>
    <s v="0032"/>
    <s v="B"/>
    <s v="张伟"/>
    <s v="华中"/>
    <x v="2"/>
    <s v="CP009"/>
    <s v="激光硒鼓 TonerMax 12A"/>
    <n v="385"/>
    <n v="88"/>
    <n v="88"/>
    <n v="0.9"/>
    <n v="33880"/>
    <n v="33880"/>
    <s v="已取消"/>
    <n v="30492"/>
    <n v="260"/>
    <n v="0.24963924963924963"/>
  </r>
  <r>
    <s v="DD-20260228-0033"/>
    <d v="2026-02-28T00:00:00"/>
    <s v="2026-02-28"/>
    <s v="KH005"/>
    <s v="杭州云图信息"/>
    <s v="杭州云图信息"/>
    <s v="KH005"/>
    <s v="电子数码"/>
    <x v="28"/>
    <s v="0033"/>
    <s v="A"/>
    <s v="赵磊"/>
    <s v="华东区"/>
    <x v="1"/>
    <s v="CP004"/>
    <s v="笔记本电脑 TechBook 14"/>
    <n v="5699"/>
    <n v="8"/>
    <n v="8"/>
    <n v="1"/>
    <s v="¥45,592.00"/>
    <n v="45592"/>
    <s v="已取消"/>
    <n v="45592"/>
    <n v="4800"/>
    <n v="0.15774697315318478"/>
  </r>
  <r>
    <s v="DD-20260303-0034"/>
    <d v="2026-03-03T00:00:00"/>
    <s v="2026-03-03"/>
    <s v="KH017"/>
    <s v="郑州中原物流"/>
    <s v="郑州中原物流"/>
    <s v="KH017"/>
    <s v="办公耗材"/>
    <x v="29"/>
    <s v="0034"/>
    <s v="B"/>
    <s v="陈静"/>
    <s v="华中"/>
    <x v="2"/>
    <s v="CP009"/>
    <s v="激光硒鼓 TonerMax 12A"/>
    <n v="385"/>
    <n v="120"/>
    <n v="120"/>
    <n v="0.85"/>
    <n v="46200"/>
    <n v="46200"/>
    <s v="已完成"/>
    <n v="39270"/>
    <n v="260"/>
    <n v="0.2055003819709702"/>
  </r>
  <r>
    <s v="DD-20260306-0035"/>
    <d v="2026-03-06T00:00:00"/>
    <s v="2026-03-06"/>
    <s v="KH019"/>
    <s v="北京中关新材"/>
    <s v="北京中关新材"/>
    <s v="KH019"/>
    <s v="电子数码"/>
    <x v="30"/>
    <s v="0035"/>
    <s v="B"/>
    <s v="赵磊"/>
    <s v="华北"/>
    <x v="3"/>
    <s v="CP006"/>
    <s v="显示器 ViewMax 27"/>
    <n v="1299"/>
    <n v="12"/>
    <n v="12"/>
    <n v="0.95"/>
    <n v="15588"/>
    <n v="15588"/>
    <s v="待付款"/>
    <n v="14808.599999999999"/>
    <n v="950"/>
    <n v="0.23017705927636636"/>
  </r>
  <r>
    <s v="DD-20260306-0036"/>
    <d v="2026-03-06T00:00:00"/>
    <s v="2026-03-06"/>
    <s v="KH005"/>
    <s v="杭州云图信息"/>
    <s v="杭州云图信息"/>
    <s v="KH005"/>
    <s v="电子数码"/>
    <x v="30"/>
    <s v="0036"/>
    <s v="A"/>
    <s v="李娜"/>
    <s v="华东"/>
    <x v="1"/>
    <s v="CP006"/>
    <s v="显示器 ViewMax 27"/>
    <n v="1299"/>
    <n v="12"/>
    <n v="12"/>
    <n v="0.95"/>
    <n v="15588"/>
    <n v="15588"/>
    <s v="已完成"/>
    <n v="14808.599999999999"/>
    <n v="950"/>
    <n v="0.23017705927636636"/>
  </r>
  <r>
    <s v="DD-20260308-0038"/>
    <d v="2026-03-08T00:00:00"/>
    <s v="2026-03-08"/>
    <s v="KH001"/>
    <s v="北京华信科技"/>
    <s v="北京华信科技"/>
    <s v="KH001"/>
    <s v="软件服务"/>
    <x v="27"/>
    <s v="0038"/>
    <s v="A"/>
    <s v="李娜"/>
    <s v="华北"/>
    <x v="3"/>
    <s v="CP012"/>
    <s v="云存储服务（1TB/年）"/>
    <n v="599"/>
    <n v="12"/>
    <n v="12"/>
    <n v="0.95"/>
    <n v="7188"/>
    <n v="7188"/>
    <s v="已完成"/>
    <n v="6828.5999999999995"/>
    <n v="250"/>
    <n v="0.56067129426236706"/>
  </r>
  <r>
    <s v="DD-20260308-0039"/>
    <d v="2026-03-08T00:00:00"/>
    <s v="2026-03-08"/>
    <s v="KH002"/>
    <s v="上海锦程贸易"/>
    <s v="上海锦程贸易"/>
    <s v="KH002"/>
    <s v="电子数码"/>
    <x v="27"/>
    <s v="0039"/>
    <s v="B"/>
    <s v="陈静"/>
    <s v="华东"/>
    <x v="1"/>
    <s v="CP006"/>
    <s v="显示器 ViewMax 27"/>
    <n v="1299"/>
    <n v="11"/>
    <n v="11"/>
    <n v="0.95"/>
    <n v="14289"/>
    <n v="14289"/>
    <s v="已完成"/>
    <n v="13574.55"/>
    <n v="950"/>
    <n v="0.23017705927636639"/>
  </r>
  <r>
    <s v="DD-20260310-0040"/>
    <d v="2026-03-10T00:00:00"/>
    <s v="2026-03-10"/>
    <s v="KH011"/>
    <s v="重庆山城办公设备"/>
    <s v="重庆山城办公设备"/>
    <s v="KH011"/>
    <s v="电子数码"/>
    <x v="31"/>
    <s v="0040"/>
    <s v="B"/>
    <s v="赵磊"/>
    <s v="西南"/>
    <x v="4"/>
    <s v="CP006"/>
    <s v="显示器 ViewMax 27"/>
    <n v="1299"/>
    <n v="7"/>
    <n v="7"/>
    <n v="1"/>
    <n v="9093"/>
    <n v="9093"/>
    <s v="已完成"/>
    <n v="9093"/>
    <n v="950"/>
    <n v="0.26866820631254812"/>
  </r>
  <r>
    <s v="DD-20260310-0041"/>
    <d v="2026-03-10T00:00:00"/>
    <s v="2026-03-10"/>
    <s v="KH008"/>
    <s v="南京紫金山软件园运营"/>
    <s v="南京紫金山软件园运营"/>
    <s v="KH008"/>
    <s v="电子数码"/>
    <x v="31"/>
    <s v="0041"/>
    <s v="C"/>
    <s v="王强"/>
    <s v="华东"/>
    <x v="1"/>
    <s v="CP004"/>
    <s v="笔记本电脑 TechBook 14"/>
    <n v="5699"/>
    <n v="3"/>
    <n v="3"/>
    <n v="1"/>
    <n v="17097"/>
    <n v="17097"/>
    <s v="已完成"/>
    <n v="17097"/>
    <n v="4800"/>
    <n v="0.15774697315318478"/>
  </r>
  <r>
    <s v="DD-20260315-0042"/>
    <d v="2026-03-15T00:00:00"/>
    <s v="2026-03-15"/>
    <s v="KH013"/>
    <s v="石家庄振华商贸"/>
    <s v="石家庄振华商贸"/>
    <s v="KH013"/>
    <s v="软件服务"/>
    <x v="32"/>
    <s v="0042"/>
    <s v="C"/>
    <s v="赵磊"/>
    <s v="华北"/>
    <x v="3"/>
    <s v="CP012"/>
    <s v="云存储服务（1TB/年）"/>
    <n v="599"/>
    <n v="37"/>
    <n v="37"/>
    <n v="0.95"/>
    <n v="22163"/>
    <n v="22163"/>
    <s v="待付款"/>
    <n v="21054.85"/>
    <n v="250"/>
    <n v="0.56067129426236706"/>
  </r>
  <r>
    <s v="DD-20260315-0043"/>
    <d v="2026-03-15T00:00:00"/>
    <s v="2026-03-15"/>
    <s v="KH015"/>
    <s v="佛山美的家电商贸"/>
    <s v="佛山美的家电商贸"/>
    <s v="KH015"/>
    <s v="电子数码"/>
    <x v="32"/>
    <s v="0043"/>
    <s v="A"/>
    <s v="陈静"/>
    <s v="华南"/>
    <x v="0"/>
    <s v="CP004"/>
    <s v="笔记本电脑 TechBook 14"/>
    <n v="5699"/>
    <n v="1"/>
    <n v="1"/>
    <n v="1"/>
    <n v="5699"/>
    <n v="5699"/>
    <s v="已完成"/>
    <n v="5699"/>
    <n v="4800"/>
    <n v="0.15774697315318478"/>
  </r>
  <r>
    <s v="DD-20260316-0044"/>
    <d v="2026-03-16T00:00:00"/>
    <s v="2026-03-16"/>
    <s v="KH008"/>
    <s v="南京紫金山软件园运营"/>
    <s v="南京紫金山软件园运营"/>
    <s v="KH008"/>
    <s v="软件服务"/>
    <x v="33"/>
    <s v="0044"/>
    <s v="C"/>
    <s v="李娜"/>
    <s v="华东"/>
    <x v="1"/>
    <s v="CP012"/>
    <s v="云存储服务（1TB/年）"/>
    <n v="599"/>
    <n v="10"/>
    <n v="10"/>
    <n v="0.95"/>
    <n v="5990"/>
    <n v="5990"/>
    <s v="待付款"/>
    <n v="5690.5"/>
    <n v="250"/>
    <n v="0.56067129426236706"/>
  </r>
  <r>
    <s v="DD-20260316-0045"/>
    <d v="2026-03-16T00:00:00"/>
    <s v="2026-03-16"/>
    <s v="KH010"/>
    <s v="苏州创智科技"/>
    <s v="苏州创智科技"/>
    <s v="KH010"/>
    <s v="办公耗材"/>
    <x v="33"/>
    <s v="0045"/>
    <s v="A"/>
    <s v="陈静"/>
    <s v="华东"/>
    <x v="1"/>
    <s v="CP009"/>
    <s v="激光硒鼓 TonerMax 12A"/>
    <n v="385"/>
    <n v="115"/>
    <n v="115"/>
    <n v="0.85"/>
    <n v="44275"/>
    <n v="44275"/>
    <s v="已完成"/>
    <n v="37633.75"/>
    <n v="260"/>
    <n v="0.2055003819709702"/>
  </r>
  <r>
    <s v="DD-20260317-0046"/>
    <d v="2026-03-17T00:00:00"/>
    <s v="2026-03-17"/>
    <s v="KH010"/>
    <s v="苏州创智科技"/>
    <s v="苏州创智科技"/>
    <s v="KH010"/>
    <s v="办公耗材"/>
    <x v="34"/>
    <s v="0046"/>
    <s v="A"/>
    <s v="张伟"/>
    <s v="华东"/>
    <x v="1"/>
    <s v="CP010"/>
    <s v="签字笔盒装（12支）"/>
    <n v="45"/>
    <n v="17"/>
    <n v="17"/>
    <n v="0.95"/>
    <s v="¥765.00"/>
    <n v="765"/>
    <s v="已发货"/>
    <n v="726.75"/>
    <n v="28"/>
    <n v="0.34502923976608185"/>
  </r>
  <r>
    <s v="DD-20260320-0047"/>
    <d v="2026-03-20T00:00:00"/>
    <s v="2026-03-20"/>
    <s v="KH004"/>
    <s v="深圳蓝鲸网络"/>
    <s v="深圳蓝鲸网络"/>
    <s v="KH004"/>
    <s v="办公设备"/>
    <x v="35"/>
    <s v="0047"/>
    <s v="B"/>
    <s v="王强"/>
    <s v="华南"/>
    <x v="0"/>
    <s v="CP001"/>
    <s v="激光打印机 ProLaser 200"/>
    <n v="2499"/>
    <n v="4"/>
    <n v="4"/>
    <n v="1"/>
    <n v="9996"/>
    <n v="9996"/>
    <s v="已取消"/>
    <n v="9996"/>
    <n v="1850"/>
    <n v="0.25970388155262103"/>
  </r>
  <r>
    <s v="DD-20260321-0048"/>
    <d v="2026-03-21T00:00:00"/>
    <s v="2026-03-21"/>
    <s v="KH018"/>
    <s v="厦门鹭岛文创"/>
    <s v="厦门鹭岛文创"/>
    <s v="KH018"/>
    <s v="电子数码"/>
    <x v="36"/>
    <s v="0048"/>
    <s v="C"/>
    <s v="刘洋"/>
    <s v="华南区"/>
    <x v="0"/>
    <s v="CP007"/>
    <s v="无线键鼠套装 KeyFree 2.0"/>
    <n v="299"/>
    <n v="6"/>
    <n v="6"/>
    <n v="1"/>
    <n v="1794"/>
    <n v="1794"/>
    <s v="已完成"/>
    <n v="1794"/>
    <n v="190"/>
    <n v="0.36454849498327757"/>
  </r>
  <r>
    <s v="DD-20260322-0049"/>
    <d v="2026-03-22T00:00:00"/>
    <s v="2026-03-22"/>
    <s v="KH005"/>
    <s v="杭州云图信息"/>
    <s v="杭州云图信息"/>
    <s v="KH005"/>
    <s v="软件服务"/>
    <x v="37"/>
    <s v="0049"/>
    <s v="A"/>
    <s v="杨帆"/>
    <s v="华东"/>
    <x v="1"/>
    <s v="CP011"/>
    <s v="办公软件年费授权"/>
    <n v="699"/>
    <n v="25"/>
    <n v="25"/>
    <n v="0.95"/>
    <n v="17475"/>
    <n v="17475"/>
    <s v="已完成"/>
    <n v="16601.25"/>
    <n v="300"/>
    <n v="0.54822679015134401"/>
  </r>
  <r>
    <s v="DD-20260323-0050"/>
    <d v="2026-03-23T00:00:00"/>
    <s v="2026-03-23"/>
    <s v="KH009"/>
    <s v="天津海河传媒"/>
    <s v="天津海河传媒"/>
    <s v="KH009"/>
    <s v="软件服务"/>
    <x v="38"/>
    <s v="0050"/>
    <s v="C"/>
    <s v="陈静"/>
    <s v="华北"/>
    <x v="3"/>
    <s v="CP011"/>
    <s v="办公软件年费授权"/>
    <n v="699"/>
    <n v="39"/>
    <n v="39"/>
    <n v="0.95"/>
    <n v="27261"/>
    <n v="27261"/>
    <s v="已完成"/>
    <n v="25897.949999999997"/>
    <n v="300"/>
    <n v="0.54822679015134401"/>
  </r>
  <r>
    <s v="DD-20260323-0051"/>
    <d v="2026-03-23T00:00:00"/>
    <s v="2026-03-23"/>
    <s v="KH012"/>
    <s v="长沙麓山科技"/>
    <s v="长沙麓山科技"/>
    <s v="KH012"/>
    <s v="办公设备"/>
    <x v="38"/>
    <s v="0051"/>
    <s v="B"/>
    <s v="杨帆"/>
    <s v="华中"/>
    <x v="2"/>
    <s v="CP003"/>
    <s v="碎纸机 SafeCut S8"/>
    <n v="899"/>
    <n v="1"/>
    <n v="1"/>
    <n v="1"/>
    <n v="899"/>
    <n v="899"/>
    <s v="待付款"/>
    <n v="899"/>
    <n v="620"/>
    <n v="0.31034482758620691"/>
  </r>
  <r>
    <s v="DD-20260329-0052"/>
    <d v="2026-03-29T00:00:00"/>
    <s v="2026-03-29"/>
    <s v="KH016"/>
    <s v="昆明滇池科技"/>
    <s v="昆明滇池科技"/>
    <s v="KH016"/>
    <s v="办公耗材"/>
    <x v="39"/>
    <s v="0052"/>
    <s v="C"/>
    <s v="张伟"/>
    <s v="西南"/>
    <x v="4"/>
    <s v="CP009"/>
    <s v="激光硒鼓 TonerMax 12A"/>
    <n v="385"/>
    <n v="111"/>
    <n v="111"/>
    <n v="0.85"/>
    <n v="42735"/>
    <n v="42735"/>
    <s v="已发货"/>
    <n v="36324.75"/>
    <n v="260"/>
    <n v="0.2055003819709702"/>
  </r>
  <r>
    <s v="DD-20260331-0053"/>
    <d v="2026-03-31T00:00:00"/>
    <s v="2026-03-31"/>
    <s v="KH002"/>
    <s v="上海锦程贸易"/>
    <s v="上海锦程贸易"/>
    <s v="KH002"/>
    <s v="电子数码"/>
    <x v="40"/>
    <s v="0053"/>
    <s v="B"/>
    <s v="陈静"/>
    <s v=" 华东"/>
    <x v="1"/>
    <s v="CP006"/>
    <s v="显示器 ViewMax 27"/>
    <n v="1299"/>
    <m/>
    <n v="12"/>
    <n v="0.95"/>
    <n v="15588"/>
    <n v="15588"/>
    <s v="已完成"/>
    <n v="14808.599999999999"/>
    <n v="950"/>
    <n v="0.23017705927636636"/>
  </r>
  <r>
    <s v="DD-20260402-0054"/>
    <d v="2026-04-02T00:00:00"/>
    <s v="2026-04-02"/>
    <s v="KH015"/>
    <s v="佛山美的家电商贸"/>
    <s v="佛山美的家电商贸"/>
    <s v="KH015"/>
    <s v="软件服务"/>
    <x v="41"/>
    <s v="0054"/>
    <s v="A"/>
    <s v="刘洋"/>
    <s v="华南"/>
    <x v="0"/>
    <s v="CP012"/>
    <s v="云存储服务（1TB/年）"/>
    <n v="599"/>
    <n v="3"/>
    <n v="3"/>
    <n v="1"/>
    <n v="1797"/>
    <n v="1797"/>
    <s v="待付款"/>
    <n v="1797"/>
    <n v="250"/>
    <n v="0.58263772954924875"/>
  </r>
  <r>
    <s v="DD-20260403-0055"/>
    <d v="2026-04-03T00:00:00"/>
    <s v="2026-04-03"/>
    <s v="KH014"/>
    <s v="宁波海港实业"/>
    <s v="宁波海港实业"/>
    <s v="KH014"/>
    <s v="电子数码"/>
    <x v="42"/>
    <s v="0055"/>
    <s v="B"/>
    <s v="赵磊"/>
    <s v="华东"/>
    <x v="1"/>
    <s v="CP006"/>
    <s v="显示器 ViewMax 27"/>
    <n v="1299"/>
    <n v="1"/>
    <n v="1"/>
    <n v="1"/>
    <n v="1299"/>
    <n v="1299"/>
    <s v="已完成"/>
    <n v="1299"/>
    <n v="950"/>
    <n v="0.26866820631254812"/>
  </r>
  <r>
    <s v="DD-20260404-0056"/>
    <d v="2026-04-04T00:00:00"/>
    <s v="2026-04-04"/>
    <s v="KH019"/>
    <s v="北京中关新材"/>
    <s v="北京中关新材"/>
    <s v="KH019"/>
    <s v="办公耗材"/>
    <x v="43"/>
    <s v="0056"/>
    <s v="B"/>
    <s v="王强"/>
    <s v="华北"/>
    <x v="3"/>
    <s v="CP008"/>
    <s v="A4复印纸（5包/箱）"/>
    <n v="128"/>
    <m/>
    <n v="92"/>
    <n v="0.9"/>
    <n v="11776"/>
    <n v="11776"/>
    <s v="已取消"/>
    <n v="10598.4"/>
    <n v="95"/>
    <n v="0.17534722222222218"/>
  </r>
  <r>
    <s v="DD-20260405-0057"/>
    <d v="2026-04-05T00:00:00"/>
    <s v="2026-04-05"/>
    <s v="KH002"/>
    <s v="上海锦程贸易"/>
    <s v="上海锦程贸易"/>
    <s v="KH002"/>
    <s v="办公设备"/>
    <x v="44"/>
    <s v="0057"/>
    <s v="B"/>
    <s v="杨帆"/>
    <s v="华东"/>
    <x v="1"/>
    <s v="CP003"/>
    <s v="碎纸机 SafeCut S8 "/>
    <n v="899"/>
    <n v="7"/>
    <n v="7"/>
    <n v="1"/>
    <n v="6293"/>
    <n v="6293"/>
    <s v="已完成"/>
    <n v="6293"/>
    <n v="620"/>
    <n v="0.31034482758620691"/>
  </r>
  <r>
    <s v="DD-20260405-0058"/>
    <d v="2026-04-05T00:00:00"/>
    <s v="2026-04-05"/>
    <s v="KH005"/>
    <s v="杭州云图信息"/>
    <s v="杭州云图信息"/>
    <s v="KH005"/>
    <s v="办公耗材"/>
    <x v="44"/>
    <s v="0058"/>
    <s v="A"/>
    <s v="刘洋"/>
    <s v="华东"/>
    <x v="1"/>
    <s v="CP010"/>
    <s v="签字笔盒装（12支）"/>
    <n v="45"/>
    <n v="94"/>
    <n v="94"/>
    <n v="0.9"/>
    <n v="4230"/>
    <n v="4230"/>
    <s v="已完成"/>
    <n v="3807"/>
    <n v="28"/>
    <n v="0.30864197530864196"/>
  </r>
  <r>
    <s v="DD-20260407-0059"/>
    <d v="2026-04-07T00:00:00"/>
    <s v="2026-04-07"/>
    <s v="KH005"/>
    <s v="杭州云图信息"/>
    <s v="杭州云图信息"/>
    <s v="KH005"/>
    <s v="办公耗材"/>
    <x v="45"/>
    <s v="0059"/>
    <s v="A"/>
    <s v="王强"/>
    <s v="华东"/>
    <x v="1"/>
    <s v="CP008"/>
    <s v="A4复印纸（5包/箱）"/>
    <n v="128"/>
    <n v="55"/>
    <n v="55"/>
    <n v="0.9"/>
    <s v="¥7,040.00"/>
    <n v="7040"/>
    <s v="已取消"/>
    <n v="6336"/>
    <n v="95"/>
    <n v="0.17534722222222221"/>
  </r>
  <r>
    <s v="DD-20260412-0060"/>
    <d v="2026-04-12T00:00:00"/>
    <s v="2026-04-12"/>
    <s v="KH003"/>
    <s v="广州启航教育"/>
    <s v="广州启航教育"/>
    <s v="KH003"/>
    <s v="办公耗材"/>
    <x v="46"/>
    <s v="0060"/>
    <s v="A"/>
    <s v="孙悦"/>
    <s v="华南"/>
    <x v="0"/>
    <s v="CP010"/>
    <s v="签字笔盒装（12支）"/>
    <n v="45"/>
    <n v="11"/>
    <n v="11"/>
    <n v="0.95"/>
    <n v="495"/>
    <n v="495"/>
    <s v="已取消"/>
    <n v="470.25"/>
    <n v="28"/>
    <n v="0.34502923976608185"/>
  </r>
  <r>
    <s v="DD-20260412-0061"/>
    <d v="2026-04-12T00:00:00"/>
    <s v="2026-04-12"/>
    <s v="KH006"/>
    <s v="成都天府商贸"/>
    <s v="成都天府商贸"/>
    <s v="KH006"/>
    <s v="办公耗材"/>
    <x v="46"/>
    <s v="0061"/>
    <s v="C"/>
    <s v="王强"/>
    <s v="西南"/>
    <x v="4"/>
    <s v="CP010"/>
    <s v="签字笔盒装（12支）"/>
    <n v="45"/>
    <n v="109"/>
    <n v="109"/>
    <n v="0.85"/>
    <n v="4905"/>
    <n v="4905"/>
    <s v="已发货"/>
    <n v="4169.25"/>
    <n v="28"/>
    <n v="0.26797385620915032"/>
  </r>
  <r>
    <s v="DD-20260413-0062"/>
    <d v="2026-04-13T00:00:00"/>
    <s v="2026-04-13"/>
    <s v="KH001"/>
    <s v="北京华信科技"/>
    <s v="北京华信科技"/>
    <s v="KH001"/>
    <s v="电子数码"/>
    <x v="47"/>
    <s v="0062"/>
    <s v="A"/>
    <s v="王强"/>
    <s v="华北"/>
    <x v="3"/>
    <s v="CP006"/>
    <s v="显示器 ViewMax 27"/>
    <n v="1299"/>
    <n v="3"/>
    <n v="3"/>
    <n v="1"/>
    <n v="3897"/>
    <n v="3897"/>
    <s v="已完成"/>
    <n v="3897"/>
    <n v="950"/>
    <n v="0.26866820631254812"/>
  </r>
  <r>
    <s v="DD-20260413-0063"/>
    <d v="2026-04-13T00:00:00"/>
    <s v="2026-04-13"/>
    <s v="KH002"/>
    <s v="上海锦程贸易"/>
    <s v="上海锦程贸易"/>
    <s v="KH002"/>
    <s v="办公耗材"/>
    <x v="47"/>
    <s v="0063"/>
    <s v="B"/>
    <s v="张伟"/>
    <s v="华东"/>
    <x v="1"/>
    <s v="CP009"/>
    <s v="激光硒鼓 TonerMax 12A"/>
    <n v="385"/>
    <n v="100"/>
    <n v="100"/>
    <n v="0.85"/>
    <n v="38500"/>
    <n v="38500"/>
    <s v="待付款"/>
    <n v="32725"/>
    <n v="260"/>
    <n v="0.2055003819709702"/>
  </r>
  <r>
    <s v="DD-20260413-0064"/>
    <d v="2026-04-13T00:00:00"/>
    <s v="2026-04-13"/>
    <s v="KH001"/>
    <s v="北京华信科技"/>
    <s v="北京华信科技"/>
    <s v="KH001"/>
    <s v="电子数码"/>
    <x v="47"/>
    <s v="0064"/>
    <s v="A"/>
    <s v="王强"/>
    <s v=" 华北"/>
    <x v="3"/>
    <s v="CP006"/>
    <s v="显示器 ViewMax 27"/>
    <n v="1299"/>
    <n v="9"/>
    <n v="9"/>
    <n v="1"/>
    <n v="11691"/>
    <n v="11691"/>
    <s v="已发货"/>
    <n v="11691"/>
    <n v="950"/>
    <n v="0.26866820631254812"/>
  </r>
  <r>
    <s v="DD-20260418-0065"/>
    <d v="2026-04-18T00:00:00"/>
    <s v="2026-04-18"/>
    <s v="KH004"/>
    <s v="深圳蓝鲸网络"/>
    <s v="深圳蓝鲸网络"/>
    <s v="KH004"/>
    <s v="办公设备"/>
    <x v="48"/>
    <s v="0065"/>
    <s v="B"/>
    <s v="孙悦"/>
    <s v="华南"/>
    <x v="0"/>
    <s v="CP002"/>
    <s v="多功能一体机 PrintMaster 300"/>
    <n v="3599"/>
    <s v="6"/>
    <n v="6"/>
    <n v="1"/>
    <n v="21594"/>
    <n v="21594"/>
    <s v="已完成"/>
    <n v="21594"/>
    <n v="2700"/>
    <n v="0.24979160878021672"/>
  </r>
  <r>
    <s v="DD-20260418-0066"/>
    <d v="2026-04-18T00:00:00"/>
    <s v="2026-04-18"/>
    <s v="KH016"/>
    <s v="昆明滇池科技"/>
    <s v="昆明滇池科技"/>
    <s v="KH016"/>
    <s v="办公设备"/>
    <x v="48"/>
    <s v="0066"/>
    <s v="C"/>
    <s v="陈静"/>
    <s v="西南"/>
    <x v="4"/>
    <s v="CP002"/>
    <s v="多功能一体机 PrintMaster 300"/>
    <n v="3599"/>
    <m/>
    <n v="5"/>
    <n v="1"/>
    <n v="17995"/>
    <n v="17995"/>
    <s v="已发货"/>
    <n v="17995"/>
    <n v="2700"/>
    <n v="0.24979160878021672"/>
  </r>
  <r>
    <s v="DD-20260419-0067"/>
    <d v="2026-04-19T00:00:00"/>
    <s v="2026-04-19"/>
    <s v="KH006"/>
    <s v="成都天府商贸"/>
    <s v="成都天府商贸"/>
    <s v="KH006"/>
    <s v="软件服务"/>
    <x v="49"/>
    <s v="0067"/>
    <s v="C"/>
    <s v="刘洋"/>
    <s v="西南"/>
    <x v="4"/>
    <s v="CP011"/>
    <s v="办公软件年费授权"/>
    <n v="699"/>
    <s v="9"/>
    <n v="9"/>
    <n v="1"/>
    <n v="6291"/>
    <n v="6291"/>
    <s v="待付款"/>
    <n v="6291"/>
    <n v="300"/>
    <n v="0.57081545064377681"/>
  </r>
  <r>
    <s v="DD-20260419-0068"/>
    <d v="2026-04-19T00:00:00"/>
    <s v="2026-04-19"/>
    <s v="KH014"/>
    <s v="宁波海港实业"/>
    <s v="宁波海港实业"/>
    <s v="KH014"/>
    <s v="电子数码"/>
    <x v="49"/>
    <s v="0068"/>
    <s v="B"/>
    <s v="杨帆"/>
    <s v="华东"/>
    <x v="1"/>
    <s v="CP007"/>
    <s v="无线键鼠套装 KeyFree 2.0"/>
    <n v="299"/>
    <n v="10"/>
    <n v="10"/>
    <n v="0.95"/>
    <n v="2990"/>
    <n v="2990"/>
    <s v="已完成"/>
    <n v="2840.5"/>
    <n v="190"/>
    <n v="0.33110367892976589"/>
  </r>
  <r>
    <s v="DD-20260419-0069"/>
    <d v="2026-04-19T00:00:00"/>
    <s v="2026-04-19"/>
    <s v="KH015"/>
    <s v="佛山美的家电商贸"/>
    <s v="佛山美的家电商贸"/>
    <s v="KH015"/>
    <s v="办公设备"/>
    <x v="49"/>
    <s v="0069"/>
    <s v="A"/>
    <s v="陈静"/>
    <s v="华南"/>
    <x v="0"/>
    <s v="CP002"/>
    <s v="多功能一体机 PrintMaster 300"/>
    <n v="3599"/>
    <n v="8"/>
    <n v="8"/>
    <n v="1"/>
    <n v="28792"/>
    <n v="28792"/>
    <s v="已完成"/>
    <n v="28792"/>
    <n v="2700"/>
    <n v="0.24979160878021672"/>
  </r>
  <r>
    <s v="DD-20260420-0070"/>
    <d v="2026-04-20T00:00:00"/>
    <s v="2026-04-20"/>
    <s v="KH013"/>
    <s v="石家庄振华商贸"/>
    <s v="石家庄振华商贸"/>
    <s v="KH013"/>
    <s v="办公设备"/>
    <x v="50"/>
    <s v="0070"/>
    <s v="C"/>
    <s v="杨帆"/>
    <s v="华北"/>
    <x v="3"/>
    <s v="CP003"/>
    <s v="碎纸机 SafeCut S8"/>
    <n v="899"/>
    <n v="7"/>
    <n v="7"/>
    <n v="1"/>
    <n v="6293"/>
    <n v="6293"/>
    <s v="已完成"/>
    <n v="6293"/>
    <n v="620"/>
    <n v="0.31034482758620691"/>
  </r>
  <r>
    <s v="DD-20260421-0071"/>
    <d v="2026-04-21T00:00:00"/>
    <s v="2026-04-21"/>
    <s v="KH018"/>
    <s v="厦门鹭岛文创"/>
    <s v="厦门鹭岛文创"/>
    <s v="KH018"/>
    <s v="办公耗材"/>
    <x v="51"/>
    <s v="0071"/>
    <s v="C"/>
    <s v="赵磊"/>
    <s v="华南"/>
    <x v="0"/>
    <s v="CP009"/>
    <s v="激光硒鼓 TonerMax 12A"/>
    <n v="385"/>
    <n v="73"/>
    <n v="73"/>
    <n v="0.9"/>
    <n v="28105"/>
    <n v="28105"/>
    <s v="已完成"/>
    <n v="25294.5"/>
    <n v="260"/>
    <n v="0.24963924963924963"/>
  </r>
  <r>
    <s v="DD-20260422-0072"/>
    <d v="2026-04-22T00:00:00"/>
    <s v="2026-04-22"/>
    <s v="KH003"/>
    <s v="广州启航教育"/>
    <s v="厦门鹭岛文创"/>
    <s v="KH018"/>
    <s v="电子数码"/>
    <x v="52"/>
    <s v="0072"/>
    <s v="A"/>
    <s v="杨帆"/>
    <s v="华南"/>
    <x v="0"/>
    <s v="CP007"/>
    <s v="无线键鼠套装 KeyFree 2.0"/>
    <n v="299"/>
    <n v="12"/>
    <n v="12"/>
    <n v="0.95"/>
    <n v="3588"/>
    <n v="3588"/>
    <s v="已发货"/>
    <n v="3408.6"/>
    <n v="190"/>
    <n v="0.33110367892976589"/>
  </r>
  <r>
    <s v="DD-20260423-0073"/>
    <d v="2026-04-23T00:00:00"/>
    <s v="2026-04-23"/>
    <s v="KH006"/>
    <s v="成都天府商贸"/>
    <s v="成都天府商贸"/>
    <s v="KH006"/>
    <s v="软件服务"/>
    <x v="53"/>
    <s v="0073"/>
    <s v="C"/>
    <s v="赵磊"/>
    <s v="西南"/>
    <x v="4"/>
    <s v="CP011"/>
    <s v="办公软件年费授权"/>
    <n v="699"/>
    <n v="39"/>
    <n v="39"/>
    <n v="0.95"/>
    <n v="27261"/>
    <n v="27261"/>
    <s v="已完成"/>
    <n v="25897.949999999997"/>
    <n v="300"/>
    <n v="0.54822679015134401"/>
  </r>
  <r>
    <s v="DD-20260423-0074"/>
    <d v="2026-04-23T00:00:00"/>
    <s v="2026-04-23"/>
    <s v="KH008"/>
    <s v="南京紫金山软件园运营"/>
    <s v="南京紫金山软件园运营"/>
    <s v="KH008"/>
    <s v="办公耗材"/>
    <x v="53"/>
    <s v="0074"/>
    <s v="C"/>
    <s v="王强"/>
    <s v="华东"/>
    <x v="1"/>
    <s v="CP008"/>
    <s v="A4复印纸（5包/箱）"/>
    <n v="128"/>
    <n v="104"/>
    <n v="104"/>
    <n v="0.85"/>
    <n v="13312"/>
    <n v="13312"/>
    <s v="已完成"/>
    <n v="11315.199999999999"/>
    <n v="95"/>
    <n v="0.12683823529411756"/>
  </r>
  <r>
    <s v="DD-20260426-0075"/>
    <d v="2026-04-26T00:00:00"/>
    <s v="2026-04-26"/>
    <s v="KH005"/>
    <s v="杭州云图信息"/>
    <s v="杭州云图信息"/>
    <s v="KH005"/>
    <s v="办公设备"/>
    <x v="54"/>
    <s v="0075"/>
    <s v="A"/>
    <s v="孙悦"/>
    <s v="华东"/>
    <x v="1"/>
    <s v="CP003"/>
    <s v="碎纸机 SafeCut S8"/>
    <n v="899"/>
    <n v="5"/>
    <n v="5"/>
    <n v="1"/>
    <s v="¥4,495.00"/>
    <n v="4495"/>
    <s v="已完成"/>
    <n v="4495"/>
    <n v="620"/>
    <n v="0.31034482758620691"/>
  </r>
  <r>
    <s v="DD-20260426-0076"/>
    <d v="2026-04-26T00:00:00"/>
    <s v="2026-04-26"/>
    <s v="KH010"/>
    <s v="苏州创智科技"/>
    <s v="苏州创智科技"/>
    <s v="KH010"/>
    <s v="电子数码"/>
    <x v="54"/>
    <s v="0076"/>
    <s v="A"/>
    <s v="王强"/>
    <s v="华东"/>
    <x v="1"/>
    <s v="CP005"/>
    <s v="台式电脑 PowerDesk 500"/>
    <n v="4299"/>
    <s v="6"/>
    <n v="6"/>
    <n v="1"/>
    <n v="25794"/>
    <n v="25794"/>
    <s v="已完成"/>
    <n v="25794"/>
    <n v="3500"/>
    <n v="0.18585717608746219"/>
  </r>
  <r>
    <s v="DD-20260427-0077"/>
    <d v="2026-04-27T00:00:00"/>
    <s v="2026-04-27"/>
    <s v="KH002"/>
    <s v="上海锦程贸易"/>
    <s v="上海锦程贸易"/>
    <s v="KH002"/>
    <s v="电子数码"/>
    <x v="55"/>
    <s v="0077"/>
    <s v="B"/>
    <s v="赵磊"/>
    <s v="华东"/>
    <x v="1"/>
    <s v="CP005"/>
    <s v="台式电脑 PowerDesk 500"/>
    <n v="4299"/>
    <m/>
    <n v="8"/>
    <n v="1"/>
    <n v="34392"/>
    <n v="34392"/>
    <s v="已完成"/>
    <n v="34392"/>
    <n v="3500"/>
    <n v="0.18585717608746219"/>
  </r>
  <r>
    <s v="DD-20260428-0078"/>
    <d v="2026-04-28T00:00:00"/>
    <s v="2026-04-28"/>
    <s v="KH010"/>
    <s v="苏州创智科技"/>
    <s v="苏州创智科技"/>
    <s v="KH010"/>
    <s v="电子数码"/>
    <x v="56"/>
    <s v="0078"/>
    <s v="A"/>
    <s v="杨帆"/>
    <s v="华东"/>
    <x v="1"/>
    <s v="CP006"/>
    <s v="显示器 ViewMax 27"/>
    <n v="1299"/>
    <n v="7"/>
    <n v="7"/>
    <n v="1"/>
    <n v="9093"/>
    <n v="9093"/>
    <s v="已完成"/>
    <n v="9093"/>
    <n v="950"/>
    <n v="0.26866820631254812"/>
  </r>
  <r>
    <s v="DD-20260428-0079"/>
    <d v="2026-04-28T00:00:00"/>
    <s v="2026-04-28"/>
    <s v="KH015"/>
    <s v="佛山美的家电商贸"/>
    <s v="佛山美的家电商贸"/>
    <s v="KH015"/>
    <s v="办公耗材"/>
    <x v="56"/>
    <s v="0079"/>
    <s v="A"/>
    <s v="刘洋"/>
    <s v="华南区"/>
    <x v="0"/>
    <s v="CP008"/>
    <s v="A4复印纸（5包/箱）"/>
    <n v="128"/>
    <n v="96"/>
    <n v="96"/>
    <n v="0.9"/>
    <n v="12288"/>
    <n v="12288"/>
    <s v="已完成"/>
    <n v="11059.2"/>
    <n v="95"/>
    <n v="0.17534722222222227"/>
  </r>
  <r>
    <s v="DD-20260428-0080"/>
    <d v="2026-04-28T00:00:00"/>
    <s v="2026-04-28"/>
    <s v="KH012"/>
    <s v="长沙麓山科技"/>
    <s v="长沙麓山科技"/>
    <s v="KH012"/>
    <s v="办公设备"/>
    <x v="56"/>
    <s v="0080"/>
    <s v="B"/>
    <s v="王强"/>
    <s v="华中"/>
    <x v="2"/>
    <s v="CP002"/>
    <s v="多功能一体机 PrintMaster 300"/>
    <n v="3599"/>
    <n v="7"/>
    <n v="7"/>
    <n v="1"/>
    <n v="25193"/>
    <n v="25193"/>
    <s v="已完成"/>
    <n v="25193"/>
    <n v="2700"/>
    <n v="0.24979160878021672"/>
  </r>
  <r>
    <s v="DD-20260429-0081"/>
    <d v="2026-04-29T00:00:00"/>
    <s v="2026-04-29"/>
    <s v="KH011"/>
    <s v="重庆山城办公设备"/>
    <s v="重庆山城办公设备"/>
    <s v="KH011"/>
    <s v="电子数码"/>
    <x v="57"/>
    <s v="0081"/>
    <s v="B"/>
    <s v="赵磊"/>
    <s v="西南"/>
    <x v="4"/>
    <s v="CP005"/>
    <s v="台式电脑 PowerDesk 500"/>
    <n v="4299"/>
    <n v="6"/>
    <n v="6"/>
    <n v="1"/>
    <n v="25794"/>
    <n v="25794"/>
    <s v="待付款"/>
    <n v="25794"/>
    <n v="3500"/>
    <n v="0.18585717608746219"/>
  </r>
  <r>
    <s v="DD-20260430-0082"/>
    <d v="2026-04-30T00:00:00"/>
    <s v="2026-04-30"/>
    <s v="KH015"/>
    <s v="佛山美的家电商贸"/>
    <s v="佛山美的家电商贸"/>
    <s v="KH015"/>
    <s v="软件服务"/>
    <x v="58"/>
    <s v="0082"/>
    <s v="A"/>
    <s v="杨帆"/>
    <s v="华南"/>
    <x v="0"/>
    <s v="CP011"/>
    <s v="办公软件年费授权"/>
    <n v="699"/>
    <n v="32"/>
    <n v="32"/>
    <n v="0.95"/>
    <n v="22368"/>
    <n v="22368"/>
    <s v="已完成"/>
    <n v="21249.599999999999"/>
    <n v="300"/>
    <n v="0.54822679015134401"/>
  </r>
  <r>
    <s v="DD-20260501-0083"/>
    <d v="2026-05-01T00:00:00"/>
    <s v="2026-05-01"/>
    <s v="KH015"/>
    <s v="佛山美的家电商贸"/>
    <s v="佛山美的家电商贸"/>
    <s v="KH015"/>
    <s v="办公耗材"/>
    <x v="59"/>
    <s v="0083"/>
    <s v="A"/>
    <s v="陈静"/>
    <s v="华南"/>
    <x v="0"/>
    <s v="CP009"/>
    <s v="激光硒鼓 TonerMax 12A"/>
    <n v="385"/>
    <n v="94"/>
    <n v="94"/>
    <n v="0.9"/>
    <n v="36190"/>
    <n v="36190"/>
    <s v="已完成"/>
    <n v="32571"/>
    <n v="260"/>
    <n v="0.24963924963924963"/>
  </r>
  <r>
    <s v="DD-20260501-0084"/>
    <s v="2026.5.1"/>
    <s v="2026-05-01"/>
    <s v="KH015"/>
    <s v="佛山美的家电商贸"/>
    <s v="佛山美的家电商贸"/>
    <s v="KH015"/>
    <s v="办公耗材"/>
    <x v="59"/>
    <s v="0084"/>
    <s v="A"/>
    <s v="陈静"/>
    <s v="华南"/>
    <x v="0"/>
    <s v="CP010"/>
    <s v="签字笔盒装（12支）"/>
    <n v="45"/>
    <n v="75"/>
    <n v="75"/>
    <n v="0.9"/>
    <n v="3375"/>
    <n v="3375"/>
    <s v="已发货"/>
    <n v="3037.5"/>
    <n v="28"/>
    <n v="0.30864197530864196"/>
  </r>
  <r>
    <s v="DD-20260503-0085"/>
    <d v="2026-05-03T00:00:00"/>
    <s v="2026-05-03"/>
    <s v="KH007"/>
    <s v="武汉长江实业"/>
    <s v="武汉长江实业"/>
    <s v="KH007"/>
    <s v="办公耗材"/>
    <x v="60"/>
    <s v="0085"/>
    <s v="B"/>
    <s v="张伟"/>
    <s v="华中"/>
    <x v="2"/>
    <s v="CP008"/>
    <s v="A4复印纸（5包/箱）"/>
    <n v="128"/>
    <s v="34"/>
    <n v="34"/>
    <n v="0.95"/>
    <n v="4352"/>
    <n v="4352"/>
    <s v="已取消"/>
    <n v="4134.3999999999996"/>
    <n v="95"/>
    <n v="0.21874999999999994"/>
  </r>
  <r>
    <s v="DD-20260503-0086"/>
    <d v="2026-05-03T00:00:00"/>
    <s v="2026-05-03"/>
    <s v="KH003"/>
    <s v="广州启航教育"/>
    <s v="广州启航教育"/>
    <s v="KH003"/>
    <s v="软件服务"/>
    <x v="60"/>
    <s v="0086"/>
    <s v="A"/>
    <s v="刘洋"/>
    <s v="华南"/>
    <x v="0"/>
    <s v="CP012"/>
    <s v="云存储服务（1TB/年）"/>
    <n v="599"/>
    <n v="31"/>
    <n v="31"/>
    <n v="0.95"/>
    <n v="18569"/>
    <n v="18569"/>
    <s v="已发货"/>
    <n v="17640.55"/>
    <n v="250"/>
    <n v="0.56067129426236706"/>
  </r>
  <r>
    <s v="DD-20260503-0087"/>
    <s v="2026/5/3"/>
    <s v="2026-05-03"/>
    <s v="KH003"/>
    <s v="广州启航教育"/>
    <s v="广州启航教育"/>
    <s v="KH003"/>
    <s v="电子数码"/>
    <x v="60"/>
    <s v="0087"/>
    <s v="A"/>
    <s v="赵磊"/>
    <s v="华南"/>
    <x v="0"/>
    <s v="CP006"/>
    <s v="显示器 ViewMax 27"/>
    <n v="1299"/>
    <n v="10"/>
    <n v="10"/>
    <n v="0.95"/>
    <n v="12990"/>
    <n v="12990"/>
    <s v="已发货"/>
    <n v="12340.5"/>
    <n v="950"/>
    <n v="0.23017705927636645"/>
  </r>
  <r>
    <s v="DD-20260504-0088"/>
    <d v="2026-05-04T00:00:00"/>
    <s v="2026-05-04"/>
    <s v="KH013"/>
    <s v="石家庄振华商贸"/>
    <s v="石家庄振华商贸"/>
    <s v="KH013"/>
    <s v="办公耗材"/>
    <x v="61"/>
    <s v="0088"/>
    <s v="C"/>
    <s v="张伟"/>
    <s v="华北"/>
    <x v="3"/>
    <s v="CP008"/>
    <s v="A4复印纸（5包/箱）"/>
    <n v="128"/>
    <n v="23"/>
    <n v="23"/>
    <n v="0.95"/>
    <n v="2944"/>
    <n v="2944"/>
    <s v="已完成"/>
    <n v="2796.7999999999997"/>
    <n v="95"/>
    <n v="0.21874999999999992"/>
  </r>
  <r>
    <s v="DD-20260505-0089"/>
    <d v="2026-05-05T00:00:00"/>
    <s v="2026-05-05"/>
    <s v="KH008"/>
    <s v="南京紫金山软件园运营"/>
    <s v="南京紫金山软件园运营"/>
    <s v="KH008"/>
    <s v="电子数码"/>
    <x v="62"/>
    <s v="0089"/>
    <s v="C"/>
    <s v="刘洋"/>
    <s v="华东"/>
    <x v="1"/>
    <s v="CP004"/>
    <s v="笔记本电脑 TechBook 14"/>
    <n v="5699"/>
    <n v="12"/>
    <n v="12"/>
    <n v="0.95"/>
    <n v="68388"/>
    <n v="68388"/>
    <s v="已取消"/>
    <n v="64968.6"/>
    <n v="4800"/>
    <n v="0.11341786647703658"/>
  </r>
  <r>
    <s v="DD-20260506-0090"/>
    <d v="2026-05-06T00:00:00"/>
    <s v="2026-05-06"/>
    <s v="KH018"/>
    <s v="厦门鹭岛文创"/>
    <s v="厦门鹭岛文创"/>
    <s v="KH018"/>
    <s v="办公耗材"/>
    <x v="63"/>
    <s v="0090"/>
    <s v="C"/>
    <s v="杨帆"/>
    <s v="华南"/>
    <x v="0"/>
    <s v="CP009"/>
    <s v="激光硒鼓 TonerMax 12A"/>
    <n v="385"/>
    <s v="53"/>
    <n v="53"/>
    <n v="0.9"/>
    <n v="20405"/>
    <n v="20405"/>
    <s v="已完成"/>
    <n v="18364.5"/>
    <n v="260"/>
    <n v="0.24963924963924963"/>
  </r>
  <r>
    <s v="DD-20260506-0091"/>
    <d v="2026-05-06T00:00:00"/>
    <s v="2026-05-06"/>
    <s v="KH012"/>
    <s v="长沙麓山科技"/>
    <s v="长沙麓山科技"/>
    <s v="KH012"/>
    <s v="电子数码"/>
    <x v="63"/>
    <s v="0091"/>
    <s v="B"/>
    <s v="陈静"/>
    <s v="华中"/>
    <x v="2"/>
    <s v="CP005"/>
    <s v="台式电脑 PowerDesk 500"/>
    <n v="4299"/>
    <n v="6"/>
    <n v="6"/>
    <n v="1"/>
    <n v="25794"/>
    <n v="25794"/>
    <s v="已完成"/>
    <n v="25794"/>
    <n v="3500"/>
    <n v="0.18585717608746219"/>
  </r>
  <r>
    <s v="DD-20260506-0092"/>
    <s v="2026/5/6"/>
    <s v="2026-05-06"/>
    <s v="KH010"/>
    <s v="苏州创智科技"/>
    <s v="苏州创智科技"/>
    <s v="KH010"/>
    <s v="办公设备"/>
    <x v="63"/>
    <s v="0092"/>
    <s v="A"/>
    <s v="陈静"/>
    <s v="华东"/>
    <x v="1"/>
    <s v="CP001"/>
    <s v="激光打印机 ProLaser 200"/>
    <n v="2499"/>
    <n v="6"/>
    <n v="6"/>
    <n v="1"/>
    <n v="14994"/>
    <n v="14994"/>
    <s v="待付款"/>
    <n v="14994"/>
    <n v="1850"/>
    <n v="0.25970388155262103"/>
  </r>
  <r>
    <s v="DD-20260506-0093"/>
    <d v="2026-05-06T00:00:00"/>
    <s v="2026-05-06"/>
    <s v="KH009"/>
    <s v="天津海河传媒"/>
    <s v="天津海河传媒"/>
    <s v="KH009"/>
    <s v="电子数码"/>
    <x v="63"/>
    <s v="0093"/>
    <s v="C"/>
    <s v="赵磊"/>
    <s v="华北"/>
    <x v="3"/>
    <s v="CP006"/>
    <s v="显示器 ViewMax 27"/>
    <n v="1299"/>
    <s v="9"/>
    <n v="9"/>
    <n v="1"/>
    <n v="11691"/>
    <n v="11691"/>
    <s v="已完成"/>
    <n v="11691"/>
    <n v="950"/>
    <n v="0.26866820631254812"/>
  </r>
  <r>
    <s v="DD-20260508-0094"/>
    <d v="2026-05-08T00:00:00"/>
    <s v="2026-05-08"/>
    <s v="KH011"/>
    <s v="重庆山城办公设备"/>
    <s v="重庆山城办公设备"/>
    <s v="KH011"/>
    <s v="软件服务"/>
    <x v="64"/>
    <s v="0094"/>
    <s v="B"/>
    <s v="陈静"/>
    <s v="西南区"/>
    <x v="4"/>
    <s v="CP011"/>
    <s v="办公软件年费授权"/>
    <n v="699"/>
    <n v="6"/>
    <n v="6"/>
    <n v="1"/>
    <s v="¥4,194.00"/>
    <n v="4194"/>
    <s v="已取消"/>
    <n v="4194"/>
    <n v="300"/>
    <n v="0.57081545064377681"/>
  </r>
  <r>
    <s v="DD-20260508-0095"/>
    <d v="2026-05-08T00:00:00"/>
    <s v="2026-05-08"/>
    <s v="KH012"/>
    <s v="长沙麓山科技"/>
    <s v="武汉长江实业"/>
    <s v="KH007"/>
    <s v="软件服务"/>
    <x v="64"/>
    <s v="0095"/>
    <s v="B"/>
    <s v="杨帆"/>
    <s v="华中"/>
    <x v="2"/>
    <s v="CP011"/>
    <s v="办公软件年费授权"/>
    <n v="699"/>
    <n v="35"/>
    <n v="35"/>
    <n v="0.95"/>
    <n v="24465"/>
    <n v="24465"/>
    <s v="已完成"/>
    <n v="23241.75"/>
    <n v="300"/>
    <n v="0.54822679015134401"/>
  </r>
  <r>
    <s v="DD-20260508-0096"/>
    <s v="2026年5月8日"/>
    <s v="2026-05-08"/>
    <s v="KH013"/>
    <s v="石家庄振华商贸"/>
    <s v="石家庄振华商贸"/>
    <s v="KH013"/>
    <s v="电子数码"/>
    <x v="64"/>
    <s v="0096"/>
    <s v="C"/>
    <s v="王强"/>
    <s v="华北"/>
    <x v="3"/>
    <s v="CP006"/>
    <s v="显示器 ViewMax 27"/>
    <n v="1299"/>
    <n v="2"/>
    <n v="2"/>
    <n v="1"/>
    <n v="2598"/>
    <n v="2598"/>
    <s v="已发货"/>
    <n v="2598"/>
    <n v="950"/>
    <n v="0.26866820631254812"/>
  </r>
  <r>
    <s v="DD-20260509-0097"/>
    <s v="2026年5月9日"/>
    <s v="2026-05-09"/>
    <s v="KH019"/>
    <s v="北京中关新材"/>
    <s v="北京中关新材"/>
    <s v="KH019"/>
    <s v="软件服务"/>
    <x v="65"/>
    <s v="0097"/>
    <s v="B"/>
    <s v="赵磊"/>
    <s v="华北区"/>
    <x v="3"/>
    <s v="CP012"/>
    <s v="云存储服务（1TB/年）"/>
    <n v="599"/>
    <n v="35"/>
    <n v="35"/>
    <n v="0.95"/>
    <n v="20965"/>
    <n v="20965"/>
    <s v="已发货"/>
    <n v="19916.75"/>
    <n v="250"/>
    <n v="0.56067129426236706"/>
  </r>
  <r>
    <s v="DD-20260509-0098"/>
    <d v="2026-05-09T00:00:00"/>
    <s v="2026-05-09"/>
    <s v="KH019"/>
    <s v="北京中关新材"/>
    <s v="北京中关新材"/>
    <s v="KH019"/>
    <s v="软件服务"/>
    <x v="65"/>
    <s v="0098"/>
    <s v="B"/>
    <s v="孙悦"/>
    <s v="华北 "/>
    <x v="3"/>
    <s v="CP012"/>
    <s v="云存储服务（1TB/年）"/>
    <n v="599"/>
    <n v="3"/>
    <n v="3"/>
    <n v="1"/>
    <n v="1797"/>
    <n v="1797"/>
    <s v="已完成"/>
    <n v="1797"/>
    <n v="250"/>
    <n v="0.58263772954924875"/>
  </r>
  <r>
    <s v="DD-20260510-0099"/>
    <d v="2026-05-10T00:00:00"/>
    <s v="2026-05-10"/>
    <s v="KH008"/>
    <s v="南京紫金山软件园运营"/>
    <s v="南京紫金山软件园运营"/>
    <s v="KH008"/>
    <s v="软件服务"/>
    <x v="66"/>
    <s v="0099"/>
    <s v="C"/>
    <s v="刘洋"/>
    <s v="华东"/>
    <x v="1"/>
    <s v="CP011"/>
    <s v="办公软件年费授权"/>
    <n v="699"/>
    <s v="10"/>
    <n v="10"/>
    <n v="0.95"/>
    <n v="6990"/>
    <n v="6990"/>
    <s v="待付款"/>
    <n v="6640.5"/>
    <n v="300"/>
    <n v="0.54822679015134401"/>
  </r>
  <r>
    <s v="DD-20260511-0100"/>
    <d v="2026-05-11T00:00:00"/>
    <s v="2026-05-11"/>
    <s v="KH005"/>
    <s v="杭州云图信息"/>
    <s v="杭州云图信息"/>
    <s v="KH005"/>
    <s v="软件服务"/>
    <x v="67"/>
    <s v="0100"/>
    <s v="A"/>
    <s v="王强"/>
    <s v="华东"/>
    <x v="1"/>
    <s v="CP011"/>
    <s v="办公软件年费授权 "/>
    <n v="699"/>
    <n v="33"/>
    <n v="33"/>
    <n v="0.95"/>
    <n v="23067"/>
    <n v="23067"/>
    <s v="已完成"/>
    <n v="21913.649999999998"/>
    <n v="300"/>
    <n v="0.54822679015134401"/>
  </r>
  <r>
    <s v="DD-20260512-0101"/>
    <d v="2026-05-12T00:00:00"/>
    <s v="2026-05-12"/>
    <s v="KH016"/>
    <s v="昆明滇池科技"/>
    <s v="昆明滇池科技"/>
    <s v="KH016"/>
    <s v="电子数码"/>
    <x v="24"/>
    <s v="0101"/>
    <s v="C"/>
    <s v="赵磊"/>
    <s v="西南"/>
    <x v="4"/>
    <s v="CP006"/>
    <s v="显示器 ViewMax 27"/>
    <n v="1299"/>
    <n v="11"/>
    <n v="11"/>
    <n v="0.95"/>
    <n v="14289"/>
    <n v="14289"/>
    <s v="已完成"/>
    <n v="13574.55"/>
    <n v="950"/>
    <n v="0.23017705927636639"/>
  </r>
  <r>
    <s v="DD-20260512-0102"/>
    <d v="2026-05-12T00:00:00"/>
    <s v="2026-05-12"/>
    <s v="KH014"/>
    <s v="宁波海港实业"/>
    <s v="宁波海港实业"/>
    <s v="KH014"/>
    <s v="电子数码"/>
    <x v="24"/>
    <s v="0102"/>
    <s v="B"/>
    <s v="王强"/>
    <s v="华东"/>
    <x v="1"/>
    <s v="CP004"/>
    <s v="笔记本电脑 TechBook 14"/>
    <n v="5699"/>
    <n v="10"/>
    <n v="10"/>
    <n v="0.95"/>
    <n v="56990"/>
    <n v="56990"/>
    <s v="已发货"/>
    <n v="54140.5"/>
    <n v="4800"/>
    <n v="0.1134178664770366"/>
  </r>
  <r>
    <s v="DD-20260512-0103"/>
    <d v="2026-05-12T00:00:00"/>
    <s v="2026-05-12"/>
    <s v="KH003"/>
    <s v="广州启航教育"/>
    <s v="广州启航教育"/>
    <s v="KH003"/>
    <s v="软件服务"/>
    <x v="24"/>
    <s v="0103"/>
    <s v="A"/>
    <s v="张伟"/>
    <s v="华南"/>
    <x v="0"/>
    <s v="CP011"/>
    <s v="办公软件年费授权"/>
    <n v="699"/>
    <n v="38"/>
    <n v="38"/>
    <n v="0.95"/>
    <n v="26562"/>
    <n v="26562"/>
    <s v="待付款"/>
    <n v="25233.899999999998"/>
    <n v="300"/>
    <n v="0.54822679015134401"/>
  </r>
  <r>
    <s v="DD-20260512-0104"/>
    <s v="2026.5.12"/>
    <s v="2026-05-12"/>
    <s v="KH017"/>
    <s v="郑州中原物流"/>
    <s v="郑州中原物流"/>
    <s v="KH017"/>
    <s v="电子数码"/>
    <x v="24"/>
    <s v="0104"/>
    <s v="B"/>
    <s v="王强"/>
    <s v="华中区"/>
    <x v="2"/>
    <s v="CP005"/>
    <s v="台式电脑 PowerDesk 500"/>
    <n v="4299"/>
    <n v="5"/>
    <n v="5"/>
    <n v="1"/>
    <n v="21495"/>
    <n v="21495"/>
    <s v="已完成"/>
    <n v="21495"/>
    <n v="3500"/>
    <n v="0.18585717608746219"/>
  </r>
  <r>
    <s v="DD-20260603-0126"/>
    <d v="2026-06-03T00:00:00"/>
    <s v="2026-06-03"/>
    <s v="KH009"/>
    <s v="天津海河传媒"/>
    <s v="天津海河传媒"/>
    <s v="KH009"/>
    <s v="办公设备"/>
    <x v="68"/>
    <s v="0126"/>
    <s v="C"/>
    <s v="孙悦"/>
    <s v="华北"/>
    <x v="3"/>
    <s v="CP002"/>
    <s v="多功能一体机 PrintMaster 300"/>
    <n v="3599"/>
    <n v="11"/>
    <n v="11"/>
    <n v="0.95"/>
    <n v="39589"/>
    <n v="39589"/>
    <s v="已完成"/>
    <n v="37609.549999999996"/>
    <n v="2700"/>
    <n v="0.21030695661075435"/>
  </r>
  <r>
    <s v="DD-20260513-0105"/>
    <d v="2026-05-13T00:00:00"/>
    <s v="2026-05-13"/>
    <s v="KH019"/>
    <s v="北京中关新材"/>
    <s v="北京中关新材"/>
    <s v="KH019"/>
    <s v="办公耗材"/>
    <x v="69"/>
    <s v="0105"/>
    <s v="B"/>
    <s v="孙悦"/>
    <s v="华北"/>
    <x v="3"/>
    <s v="CP009"/>
    <s v="激光硒鼓 TonerMax 12A"/>
    <n v="385"/>
    <n v="26"/>
    <n v="26"/>
    <n v="0.95"/>
    <n v="10010"/>
    <n v="10010"/>
    <s v="已完成"/>
    <n v="9509.5"/>
    <n v="260"/>
    <n v="0.28913192071086807"/>
  </r>
  <r>
    <s v="DD-20260514-0106"/>
    <d v="2026-05-14T00:00:00"/>
    <s v="2026-05-14"/>
    <s v="KH014"/>
    <s v="宁波海港实业"/>
    <s v="宁波海港实业"/>
    <s v="KH014"/>
    <s v="办公耗材"/>
    <x v="70"/>
    <s v="0106"/>
    <s v="B"/>
    <s v="王强"/>
    <s v="华东"/>
    <x v="1"/>
    <s v="CP010"/>
    <s v="签字笔盒装（12支）"/>
    <n v="45"/>
    <s v="97"/>
    <n v="97"/>
    <n v="0.9"/>
    <n v="4365"/>
    <n v="4365"/>
    <s v="已完成"/>
    <n v="3928.5"/>
    <n v="28"/>
    <n v="0.30864197530864196"/>
  </r>
  <r>
    <s v="DD-20260514-0107"/>
    <d v="2026-05-14T00:00:00"/>
    <s v="2026-05-14"/>
    <s v="KH012"/>
    <s v="长沙麓山科技"/>
    <s v="长沙麓山科技"/>
    <s v="KH012"/>
    <s v="软件服务"/>
    <x v="70"/>
    <s v="0107"/>
    <s v="B"/>
    <s v="陈静"/>
    <s v="华中"/>
    <x v="2"/>
    <s v="CP012"/>
    <s v="云存储服务（1TB/年） "/>
    <n v="599"/>
    <n v="3"/>
    <n v="3"/>
    <n v="1"/>
    <n v="1797"/>
    <n v="1797"/>
    <s v="已完成"/>
    <n v="1797"/>
    <n v="250"/>
    <n v="0.58263772954924875"/>
  </r>
  <r>
    <s v="DD-20260515-0108"/>
    <d v="2026-05-15T00:00:00"/>
    <s v="2026-05-15"/>
    <s v="KH006"/>
    <s v="成都天府商贸"/>
    <s v="成都天府商贸"/>
    <s v="KH006"/>
    <s v="办公耗材"/>
    <x v="71"/>
    <s v="0108"/>
    <s v="C"/>
    <s v="赵磊"/>
    <s v="西南"/>
    <x v="4"/>
    <s v="CP008"/>
    <s v="A4复印纸（5包/箱）"/>
    <n v="128"/>
    <n v="69"/>
    <n v="69"/>
    <n v="0.9"/>
    <s v="¥8,832.00"/>
    <n v="8832"/>
    <s v="已完成"/>
    <n v="7948.8"/>
    <n v="95"/>
    <n v="0.17534722222222224"/>
  </r>
  <r>
    <s v="DD-20260518-0109"/>
    <s v="2026年5月18日"/>
    <s v="2026-05-18"/>
    <s v="KH005"/>
    <s v="杭州云图信息"/>
    <s v="杭州云图信息"/>
    <s v="KH005"/>
    <s v="办公耗材"/>
    <x v="72"/>
    <s v="0109"/>
    <s v="A"/>
    <s v="孙悦"/>
    <s v="华东区"/>
    <x v="1"/>
    <s v="CP010"/>
    <s v="签字笔盒装（12支）"/>
    <n v="45"/>
    <n v="15"/>
    <n v="15"/>
    <n v="0.95"/>
    <n v="675"/>
    <n v="675"/>
    <s v="已完成"/>
    <n v="641.25"/>
    <n v="28"/>
    <n v="0.34502923976608185"/>
  </r>
  <r>
    <s v="DD-20260520-0110"/>
    <d v="2026-05-20T00:00:00"/>
    <s v="2026-05-20"/>
    <s v="KH002"/>
    <s v="上海锦程贸易"/>
    <s v="上海锦程贸易"/>
    <s v="KH002"/>
    <s v="办公耗材"/>
    <x v="73"/>
    <s v="0110"/>
    <s v="B"/>
    <s v="陈静"/>
    <s v="华东区"/>
    <x v="1"/>
    <s v="CP008"/>
    <s v="A4复印纸（5包/箱）"/>
    <n v="128"/>
    <n v="100"/>
    <n v="100"/>
    <n v="0.85"/>
    <n v="12800"/>
    <n v="12800"/>
    <s v="已完成"/>
    <n v="10880"/>
    <n v="95"/>
    <n v="0.12683823529411764"/>
  </r>
  <r>
    <s v="DD-20260521-0111"/>
    <s v="2026年5月21日"/>
    <s v="2026-05-21"/>
    <s v="KH001"/>
    <s v="北京华信科技"/>
    <s v="北京华信科技"/>
    <s v="KH001"/>
    <s v="办公耗材"/>
    <x v="74"/>
    <s v="0111"/>
    <s v="A"/>
    <s v="李娜"/>
    <s v="华北"/>
    <x v="3"/>
    <s v="CP008"/>
    <s v="A4复印纸（5包/箱）"/>
    <n v="128"/>
    <n v="114"/>
    <n v="114"/>
    <n v="0.85"/>
    <n v="14592"/>
    <n v="14592"/>
    <s v="已完成"/>
    <n v="12403.199999999999"/>
    <n v="95"/>
    <n v="0.12683823529411756"/>
  </r>
  <r>
    <s v="DD-20260521-0112"/>
    <d v="2026-05-21T00:00:00"/>
    <s v="2026-05-21"/>
    <s v="KH008"/>
    <s v="南京紫金山软件园运营"/>
    <s v="南京紫金山软件园运营"/>
    <s v="KH008"/>
    <s v="软件服务"/>
    <x v="74"/>
    <s v="0112"/>
    <s v="C"/>
    <s v="刘洋"/>
    <s v="华东"/>
    <x v="1"/>
    <s v="CP011"/>
    <s v="办公软件年费授权"/>
    <n v="699"/>
    <n v="12"/>
    <n v="12"/>
    <n v="0.95"/>
    <n v="8388"/>
    <n v="8388"/>
    <s v="已完成"/>
    <n v="7968.5999999999995"/>
    <n v="300"/>
    <n v="0.54822679015134401"/>
  </r>
  <r>
    <s v="DD-20260522-0113"/>
    <d v="2026-05-22T00:00:00"/>
    <s v="2026-05-22"/>
    <s v="KH019"/>
    <s v="北京中关新材"/>
    <s v="北京中关新材"/>
    <s v="KH019"/>
    <s v="电子数码"/>
    <x v="75"/>
    <s v="0113"/>
    <s v="B"/>
    <s v="赵磊"/>
    <s v="华北"/>
    <x v="3"/>
    <s v="CP004"/>
    <s v="笔记本电脑 TechBook 14"/>
    <n v="5699"/>
    <n v="3"/>
    <n v="3"/>
    <n v="1"/>
    <n v="17097"/>
    <n v="17097"/>
    <s v="已发货"/>
    <n v="17097"/>
    <n v="4800"/>
    <n v="0.15774697315318478"/>
  </r>
  <r>
    <s v="DD-20260523-0114"/>
    <d v="2026-05-23T00:00:00"/>
    <s v="2026-05-23"/>
    <s v="KH009"/>
    <s v="天津海河传媒"/>
    <s v="天津海河传媒"/>
    <s v="KH009"/>
    <s v="电子数码"/>
    <x v="76"/>
    <s v="0114"/>
    <s v="C"/>
    <s v="陈静"/>
    <s v="华北"/>
    <x v="3"/>
    <s v="CP006"/>
    <s v="显示器 ViewMax 27"/>
    <n v="1299"/>
    <n v="4"/>
    <n v="4"/>
    <n v="1"/>
    <n v="5196"/>
    <n v="5196"/>
    <s v="已发货"/>
    <n v="5196"/>
    <n v="950"/>
    <n v="0.26866820631254812"/>
  </r>
  <r>
    <s v="DD-20260523-0115"/>
    <d v="2026-05-23T00:00:00"/>
    <s v="2026-05-23"/>
    <s v="KH008"/>
    <s v="南京紫金山软件园运营"/>
    <s v="南京紫金山软件园运营"/>
    <s v="KH008"/>
    <s v="软件服务"/>
    <x v="76"/>
    <s v="0115"/>
    <s v="C"/>
    <s v="孙悦"/>
    <s v="华东"/>
    <x v="1"/>
    <s v="CP012"/>
    <s v="云存储服务（1TB/年）"/>
    <n v="599"/>
    <n v="40"/>
    <n v="40"/>
    <n v="0.95"/>
    <n v="23960"/>
    <n v="23960"/>
    <s v="已完成"/>
    <n v="22762"/>
    <n v="250"/>
    <n v="0.56067129426236706"/>
  </r>
  <r>
    <s v="DD-20260523-0116"/>
    <s v="2026年5月23日"/>
    <s v="2026-05-23"/>
    <s v="KH018"/>
    <s v="厦门鹭岛文创"/>
    <s v="厦门鹭岛文创"/>
    <s v="KH018"/>
    <s v="办公耗材"/>
    <x v="76"/>
    <s v="0116"/>
    <s v="C"/>
    <s v="李娜"/>
    <s v="华南"/>
    <x v="0"/>
    <s v="CP010"/>
    <s v="签字笔盒装（12支）"/>
    <n v="45"/>
    <n v="24"/>
    <n v="24"/>
    <n v="0.95"/>
    <n v="1080"/>
    <n v="1080"/>
    <s v="已完成"/>
    <n v="1026"/>
    <n v="28"/>
    <n v="0.34502923976608185"/>
  </r>
  <r>
    <s v="DD-20260524-0117"/>
    <d v="2026-05-24T00:00:00"/>
    <s v="2026-05-24"/>
    <s v="KH013"/>
    <s v="石家庄振华商贸"/>
    <s v="石家庄振华商贸"/>
    <s v="KH013"/>
    <s v="办公耗材"/>
    <x v="77"/>
    <s v="0117"/>
    <s v="C"/>
    <s v="王强"/>
    <s v="华北"/>
    <x v="3"/>
    <s v="CP009"/>
    <s v="激光硒鼓 TonerMax 12A"/>
    <n v="385"/>
    <n v="24"/>
    <n v="24"/>
    <n v="0.95"/>
    <s v="¥9,240.00"/>
    <n v="9240"/>
    <s v="已完成"/>
    <n v="8778"/>
    <n v="260"/>
    <n v="0.28913192071086807"/>
  </r>
  <r>
    <s v="DD-20260525-0118"/>
    <d v="2026-05-25T00:00:00"/>
    <s v="2026-05-25"/>
    <s v="KH008"/>
    <s v="南京紫金山软件园运营"/>
    <s v="南京紫金山软件园运营"/>
    <s v="KH008"/>
    <s v="软件服务"/>
    <x v="78"/>
    <s v="0118"/>
    <s v="C"/>
    <s v="张伟"/>
    <s v="华东"/>
    <x v="1"/>
    <s v="CP011"/>
    <s v="办公软件年费授权"/>
    <n v="699"/>
    <n v="29"/>
    <n v="29"/>
    <n v="0.95"/>
    <n v="20271"/>
    <n v="20271"/>
    <s v="已完成"/>
    <n v="19257.45"/>
    <n v="300"/>
    <n v="0.54822679015134401"/>
  </r>
  <r>
    <s v="DD-20260527-0119"/>
    <s v="2026.5.27"/>
    <s v="2026-05-27"/>
    <s v="KH003"/>
    <s v="广州启航教育"/>
    <s v="广州启航教育"/>
    <s v="KH003"/>
    <s v="软件服务"/>
    <x v="79"/>
    <s v="0119"/>
    <s v="A"/>
    <s v="陈静"/>
    <s v="华南"/>
    <x v="0"/>
    <s v="CP011"/>
    <s v="办公软件年费授权"/>
    <n v="699"/>
    <n v="19"/>
    <n v="19"/>
    <n v="0.95"/>
    <n v="13281"/>
    <n v="13281"/>
    <s v="已发货"/>
    <n v="12616.949999999999"/>
    <n v="300"/>
    <n v="0.54822679015134401"/>
  </r>
  <r>
    <s v="DD-20260528-0120"/>
    <d v="2026-05-28T00:00:00"/>
    <s v="2026-05-28"/>
    <s v="KH007"/>
    <s v="武汉长江实业"/>
    <s v="武汉长江实业"/>
    <s v="KH007"/>
    <s v="办公耗材"/>
    <x v="80"/>
    <s v="0120"/>
    <s v="B"/>
    <s v="陈静"/>
    <s v=" 华中"/>
    <x v="2"/>
    <s v="CP008"/>
    <s v="A4复印纸（5包/箱）"/>
    <n v="128"/>
    <s v="68"/>
    <n v="68"/>
    <n v="0.9"/>
    <n v="8704"/>
    <n v="8704"/>
    <s v="待付款"/>
    <n v="7833.6"/>
    <n v="95"/>
    <n v="0.17534722222222227"/>
  </r>
  <r>
    <s v="DD-20260528-0121"/>
    <d v="2026-05-28T00:00:00"/>
    <s v="2026-05-28"/>
    <s v="KH010"/>
    <s v="苏州创智科技"/>
    <s v="苏州创智科技"/>
    <s v="KH010"/>
    <s v="办公设备"/>
    <x v="80"/>
    <s v="0121"/>
    <s v="A"/>
    <s v="刘洋"/>
    <s v="华东"/>
    <x v="1"/>
    <s v="CP003"/>
    <s v="碎纸机 SafeCut S8"/>
    <n v="899"/>
    <n v="3"/>
    <n v="3"/>
    <n v="1"/>
    <n v="2697"/>
    <n v="2697"/>
    <s v="已取消"/>
    <n v="2697"/>
    <n v="620"/>
    <n v="0.31034482758620691"/>
  </r>
  <r>
    <s v="DD-20260530-0122"/>
    <d v="2026-05-30T00:00:00"/>
    <s v="2026-05-30"/>
    <s v="KH009"/>
    <s v="天津海河传媒"/>
    <s v="天津海河传媒"/>
    <s v="KH009"/>
    <s v="办公耗材"/>
    <x v="81"/>
    <s v="0122"/>
    <s v="C"/>
    <s v="张伟"/>
    <s v=" 华北"/>
    <x v="3"/>
    <s v="CP009"/>
    <s v="激光硒鼓 TonerMax 12A"/>
    <n v="385"/>
    <n v="85"/>
    <n v="85"/>
    <n v="0.9"/>
    <n v="32725"/>
    <n v="32725"/>
    <s v="已取消"/>
    <n v="29452.5"/>
    <n v="260"/>
    <n v="0.24963924963924963"/>
  </r>
  <r>
    <s v="DD-20260726-0172"/>
    <d v="2026-07-26T00:00:00"/>
    <s v="2026-07-26"/>
    <s v="KH008"/>
    <s v="南京紫金山软件园运营"/>
    <s v="南京紫金山软件园运营"/>
    <s v="KH008"/>
    <s v="办公耗材"/>
    <x v="82"/>
    <s v="0172"/>
    <s v="C"/>
    <s v="赵磊"/>
    <s v="华东"/>
    <x v="1"/>
    <s v="CP008"/>
    <s v="A4复印纸（5包/箱）"/>
    <n v="128"/>
    <n v="66"/>
    <n v="66"/>
    <n v="0.9"/>
    <n v="8448"/>
    <n v="8448"/>
    <s v="已发货"/>
    <n v="7603.2"/>
    <n v="95"/>
    <n v="0.17534722222222221"/>
  </r>
  <r>
    <s v="DD-20260531-0123"/>
    <d v="2026-05-31T00:00:00"/>
    <s v="2026-05-31"/>
    <s v="KH013"/>
    <s v="石家庄振华商贸"/>
    <s v="石家庄振华商贸"/>
    <s v="KH013"/>
    <s v="电子数码"/>
    <x v="83"/>
    <s v="0123"/>
    <s v="C"/>
    <s v="李娜"/>
    <s v="华北区"/>
    <x v="3"/>
    <s v="CP006"/>
    <s v="显示器 ViewMax 27"/>
    <n v="1299"/>
    <s v="5"/>
    <n v="5"/>
    <n v="1"/>
    <n v="6495"/>
    <n v="6495"/>
    <s v="已完成"/>
    <n v="6495"/>
    <n v="950"/>
    <n v="0.26866820631254812"/>
  </r>
  <r>
    <s v="DD-20260602-0124"/>
    <d v="2026-06-02T00:00:00"/>
    <s v="2026-06-02"/>
    <s v="KH006"/>
    <s v="成都天府商贸"/>
    <s v="成都天府商贸"/>
    <s v="KH006"/>
    <s v="软件服务"/>
    <x v="84"/>
    <s v="0124"/>
    <s v="C"/>
    <s v="李娜"/>
    <s v="西南"/>
    <x v="4"/>
    <s v="CP011"/>
    <s v="办公软件年费授权"/>
    <n v="699"/>
    <n v="35"/>
    <n v="35"/>
    <n v="0.95"/>
    <n v="24465"/>
    <n v="24465"/>
    <s v="待付款"/>
    <n v="23241.75"/>
    <n v="300"/>
    <n v="0.54822679015134401"/>
  </r>
  <r>
    <s v="DD-20260603-0125"/>
    <d v="2026-06-03T00:00:00"/>
    <s v="2026-06-03"/>
    <s v="KH005"/>
    <s v="杭州云图信息"/>
    <s v="杭州云图信息"/>
    <s v="KH005"/>
    <s v="办公设备"/>
    <x v="68"/>
    <s v="0125"/>
    <s v="A"/>
    <s v="李娜"/>
    <s v="华东"/>
    <x v="1"/>
    <s v="CP002"/>
    <s v="多功能一体机 PrintMaster 300 "/>
    <n v="3599"/>
    <n v="1"/>
    <n v="1"/>
    <n v="1"/>
    <n v="3599"/>
    <n v="3599"/>
    <s v="已完成"/>
    <n v="3599"/>
    <n v="2700"/>
    <n v="0.24979160878021672"/>
  </r>
  <r>
    <s v="DD-20260603-0126"/>
    <d v="2026-06-03T00:00:00"/>
    <s v="2026-06-03"/>
    <s v="KH009"/>
    <s v="天津海河传媒"/>
    <s v="天津海河传媒"/>
    <s v="KH009"/>
    <s v="办公设备"/>
    <x v="68"/>
    <s v="0126"/>
    <s v="C"/>
    <s v="孙悦"/>
    <s v="华北"/>
    <x v="3"/>
    <s v="CP002"/>
    <s v="多功能一体机 PrintMaster 300"/>
    <n v="3599"/>
    <n v="8"/>
    <n v="8"/>
    <n v="1"/>
    <n v="28792"/>
    <n v="28792"/>
    <s v="已完成"/>
    <n v="28792"/>
    <n v="2700"/>
    <n v="0.24979160878021672"/>
  </r>
  <r>
    <s v="DD-20260607-0127"/>
    <d v="2026-06-07T00:00:00"/>
    <s v="2026-06-07"/>
    <s v="KH003"/>
    <s v="广州启航教育"/>
    <s v="广州启航教育"/>
    <s v="KH003"/>
    <s v="电子数码"/>
    <x v="85"/>
    <s v="0127"/>
    <s v="A"/>
    <s v="李娜"/>
    <s v="华南"/>
    <x v="0"/>
    <s v="CP006"/>
    <s v="显示器 ViewMax 27"/>
    <n v="1299"/>
    <n v="1"/>
    <n v="1"/>
    <n v="1"/>
    <n v="1299"/>
    <n v="1299"/>
    <s v="已完成"/>
    <n v="1299"/>
    <n v="950"/>
    <n v="0.26866820631254812"/>
  </r>
  <r>
    <s v="DD-20260609-0128"/>
    <d v="2026-06-09T00:00:00"/>
    <s v="2026-06-09"/>
    <s v="KH003"/>
    <s v="广州启航教育"/>
    <s v="广州启航教育"/>
    <s v="KH003"/>
    <s v="软件服务"/>
    <x v="86"/>
    <s v="0128"/>
    <s v="A"/>
    <s v="张伟"/>
    <s v="华南"/>
    <x v="0"/>
    <s v="CP011"/>
    <s v="办公软件年费授权"/>
    <n v="699"/>
    <n v="3"/>
    <n v="3"/>
    <n v="1"/>
    <n v="2097"/>
    <n v="2097"/>
    <s v="已发货"/>
    <n v="2097"/>
    <n v="300"/>
    <n v="0.57081545064377681"/>
  </r>
  <r>
    <s v="DD-20260609-0129"/>
    <d v="2026-06-09T00:00:00"/>
    <s v="2026-06-09"/>
    <s v="KH001"/>
    <s v="北京华信科技"/>
    <s v="北京华信科技"/>
    <s v="KH001"/>
    <s v="办公耗材"/>
    <x v="86"/>
    <s v="0129"/>
    <s v="A"/>
    <s v="杨帆"/>
    <s v="华北"/>
    <x v="3"/>
    <s v="CP009"/>
    <s v="激光硒鼓 TonerMax 12A"/>
    <n v="385"/>
    <n v="25"/>
    <n v="25"/>
    <n v="0.95"/>
    <n v="9625"/>
    <n v="9625"/>
    <s v="已发货"/>
    <n v="9143.75"/>
    <n v="260"/>
    <n v="0.28913192071086807"/>
  </r>
  <r>
    <s v="DD-20260610-0130"/>
    <d v="2026-06-10T00:00:00"/>
    <s v="2026-06-10"/>
    <s v="KH005"/>
    <s v="杭州云图信息"/>
    <s v="杭州云图信息"/>
    <s v="KH005"/>
    <s v="办公耗材"/>
    <x v="87"/>
    <s v="0130"/>
    <s v="A"/>
    <s v="孙悦"/>
    <s v="华东"/>
    <x v="1"/>
    <s v="CP008"/>
    <s v="A4复印纸（5包/箱）"/>
    <n v="128"/>
    <n v="51"/>
    <n v="51"/>
    <n v="0.9"/>
    <n v="6528"/>
    <n v="6528"/>
    <s v="已发货"/>
    <n v="5875.2"/>
    <n v="95"/>
    <n v="0.17534722222222221"/>
  </r>
  <r>
    <s v="DD-20260613-0131"/>
    <d v="2026-06-13T00:00:00"/>
    <s v="2026-06-13"/>
    <s v="KH007"/>
    <s v="武汉长江实业"/>
    <s v="武汉长江实业"/>
    <s v="KH007"/>
    <s v="办公耗材"/>
    <x v="88"/>
    <s v="0131"/>
    <s v="B"/>
    <s v="杨帆"/>
    <s v="华中"/>
    <x v="2"/>
    <s v="CP008"/>
    <s v="A4复印纸（5包/箱）"/>
    <n v="128"/>
    <n v="118"/>
    <n v="118"/>
    <n v="0.85"/>
    <n v="15104"/>
    <n v="15104"/>
    <s v="已完成"/>
    <n v="12838.4"/>
    <n v="95"/>
    <n v="0.12683823529411761"/>
  </r>
  <r>
    <s v="DD-20260615-0132"/>
    <d v="2026-06-15T00:00:00"/>
    <s v="2026-06-15"/>
    <s v="KH010"/>
    <s v="苏州创智科技"/>
    <s v="苏州创智科技"/>
    <s v="KH010"/>
    <s v="办公耗材"/>
    <x v="89"/>
    <s v="0132"/>
    <s v="A"/>
    <s v="刘洋"/>
    <s v="华东"/>
    <x v="1"/>
    <s v="CP009"/>
    <s v="激光硒鼓 TonerMax 12A "/>
    <n v="385"/>
    <n v="66"/>
    <n v="66"/>
    <n v="0.9"/>
    <n v="25410"/>
    <n v="25410"/>
    <s v="已发货"/>
    <n v="22869"/>
    <n v="260"/>
    <n v="0.24963924963924963"/>
  </r>
  <r>
    <s v="DD-20260615-0133"/>
    <d v="2026-06-15T00:00:00"/>
    <s v="2026-06-15"/>
    <s v="KH011"/>
    <s v="重庆山城办公设备"/>
    <s v="重庆山城办公设备"/>
    <s v="KH011"/>
    <s v="办公耗材"/>
    <x v="89"/>
    <s v="0133"/>
    <s v="B"/>
    <s v="张伟"/>
    <s v="西南"/>
    <x v="4"/>
    <s v="CP009"/>
    <s v="激光硒鼓 TonerMax 12A"/>
    <n v="385"/>
    <n v="71"/>
    <n v="71"/>
    <n v="0.9"/>
    <s v="¥27,335.00"/>
    <n v="27335"/>
    <s v="已完成"/>
    <n v="24601.5"/>
    <n v="260"/>
    <n v="0.24963924963924963"/>
  </r>
  <r>
    <s v="DD-20260615-0134"/>
    <d v="2026-06-15T00:00:00"/>
    <s v="2026-06-15"/>
    <s v="KH004"/>
    <s v="深圳蓝鲸网络"/>
    <s v="深圳蓝鲸网络"/>
    <s v="KH004"/>
    <s v="办公耗材"/>
    <x v="89"/>
    <s v="0134"/>
    <s v="B"/>
    <s v="孙悦"/>
    <s v="华南"/>
    <x v="0"/>
    <s v="CP010"/>
    <s v="签字笔盒装（12支）"/>
    <n v="45"/>
    <n v="77"/>
    <n v="77"/>
    <n v="0.9"/>
    <n v="3465"/>
    <n v="3465"/>
    <s v="待付款"/>
    <n v="3118.5"/>
    <n v="28"/>
    <n v="0.30864197530864196"/>
  </r>
  <r>
    <s v="DD-20260616-0135"/>
    <d v="2026-06-16T00:00:00"/>
    <s v="2026-06-16"/>
    <s v="KH005"/>
    <s v="杭州云图信息"/>
    <s v="杭州云图信息"/>
    <s v="KH005"/>
    <s v="软件服务"/>
    <x v="90"/>
    <s v="0135"/>
    <s v="A"/>
    <s v="陈静"/>
    <s v="华东"/>
    <x v="1"/>
    <s v="CP011"/>
    <s v="办公软件年费授权"/>
    <n v="699"/>
    <n v="22"/>
    <n v="22"/>
    <n v="0.95"/>
    <n v="15378"/>
    <n v="15378"/>
    <s v="已发货"/>
    <n v="14609.099999999999"/>
    <n v="300"/>
    <n v="0.54822679015134401"/>
  </r>
  <r>
    <s v="DD-20260617-0136"/>
    <d v="2026-06-17T00:00:00"/>
    <s v="2026-06-17"/>
    <s v="KH017"/>
    <s v="郑州中原物流"/>
    <s v="郑州中原物流"/>
    <s v="KH017"/>
    <s v="办公耗材"/>
    <x v="91"/>
    <s v="0136"/>
    <s v="B"/>
    <s v="王强"/>
    <s v="华中"/>
    <x v="2"/>
    <s v="CP008"/>
    <s v="A4复印纸（5包/箱）"/>
    <n v="128"/>
    <n v="55"/>
    <n v="55"/>
    <n v="0.9"/>
    <n v="7040"/>
    <n v="7040"/>
    <s v="已取消"/>
    <n v="6336"/>
    <n v="95"/>
    <n v="0.17534722222222221"/>
  </r>
  <r>
    <s v="DD-20260619-0137"/>
    <d v="2026-06-19T00:00:00"/>
    <s v="2026-06-19"/>
    <s v="KH002"/>
    <s v="上海锦程贸易"/>
    <s v="上海锦程贸易"/>
    <s v="KH002"/>
    <s v="电子数码"/>
    <x v="92"/>
    <s v="0137"/>
    <s v="B"/>
    <s v="李娜"/>
    <s v="华东"/>
    <x v="1"/>
    <s v="CP006"/>
    <s v="显示器 ViewMax 27"/>
    <n v="1299"/>
    <n v="4"/>
    <n v="4"/>
    <n v="1"/>
    <n v="5196"/>
    <n v="5196"/>
    <s v="已完成"/>
    <n v="5196"/>
    <n v="950"/>
    <n v="0.26866820631254812"/>
  </r>
  <r>
    <s v="DD-20260621-0138"/>
    <d v="2026-06-21T00:00:00"/>
    <s v="2026-06-21"/>
    <s v="KH009"/>
    <s v="天津海河传媒"/>
    <s v="天津海河传媒"/>
    <s v="KH009"/>
    <s v="软件服务"/>
    <x v="93"/>
    <s v="0138"/>
    <s v="C"/>
    <s v="赵磊"/>
    <s v="华北"/>
    <x v="3"/>
    <s v="CP011"/>
    <s v="办公软件年费授权"/>
    <n v="699"/>
    <n v="8"/>
    <n v="8"/>
    <n v="1"/>
    <s v="¥5,592.00"/>
    <n v="5592"/>
    <s v="已完成"/>
    <n v="5592"/>
    <n v="300"/>
    <n v="0.57081545064377681"/>
  </r>
  <r>
    <s v="DD-20260621-0139"/>
    <d v="2026-06-21T00:00:00"/>
    <s v="2026-06-21"/>
    <s v="KH001"/>
    <s v="北京华信科技"/>
    <s v="北京华信科技"/>
    <s v="KH001"/>
    <s v="电子数码"/>
    <x v="93"/>
    <s v="0139"/>
    <s v="A"/>
    <s v="王强"/>
    <s v="华北"/>
    <x v="3"/>
    <s v="CP004"/>
    <s v="笔记本电脑 TechBook 14"/>
    <n v="5699"/>
    <s v="5"/>
    <n v="5"/>
    <n v="1"/>
    <n v="28495"/>
    <n v="28495"/>
    <s v="已完成"/>
    <n v="28495"/>
    <n v="4800"/>
    <n v="0.15774697315318478"/>
  </r>
  <r>
    <s v="DD-20260622-0140"/>
    <d v="2026-06-22T00:00:00"/>
    <s v="2026-06-22"/>
    <s v="KH018"/>
    <s v="厦门鹭岛文创"/>
    <s v="厦门鹭岛文创"/>
    <s v="KH018"/>
    <s v="办公设备"/>
    <x v="94"/>
    <s v="0140"/>
    <s v="C"/>
    <s v="张伟"/>
    <s v="华南"/>
    <x v="0"/>
    <s v="CP002"/>
    <s v="多功能一体机 PrintMaster 300"/>
    <n v="3599"/>
    <s v="3"/>
    <n v="3"/>
    <n v="1"/>
    <n v="10797"/>
    <n v="10797"/>
    <s v="已完成"/>
    <n v="10797"/>
    <n v="2700"/>
    <n v="0.24979160878021672"/>
  </r>
  <r>
    <s v="DD-20260623-0141"/>
    <d v="2026-06-23T00:00:00"/>
    <s v="2026-06-23"/>
    <s v="KH017"/>
    <s v="郑州中原物流"/>
    <s v="郑州中原物流"/>
    <s v="KH017"/>
    <s v="软件服务"/>
    <x v="95"/>
    <s v="0141"/>
    <s v="B"/>
    <s v="李娜"/>
    <s v="华中"/>
    <x v="2"/>
    <s v="CP011"/>
    <s v="办公软件年费授权"/>
    <n v="699"/>
    <n v="37"/>
    <n v="37"/>
    <n v="0.95"/>
    <n v="25863"/>
    <n v="25863"/>
    <s v="待付款"/>
    <n v="24569.85"/>
    <n v="300"/>
    <n v="0.54822679015134401"/>
  </r>
  <r>
    <s v="DD-20260625-0142"/>
    <d v="2026-06-25T00:00:00"/>
    <s v="2026-06-25"/>
    <s v="KH010"/>
    <s v="苏州创智科技"/>
    <s v="苏州创智科技"/>
    <s v="KH010"/>
    <s v="办公设备"/>
    <x v="96"/>
    <s v="0142"/>
    <s v="A"/>
    <s v="张伟"/>
    <s v=" 华东"/>
    <x v="1"/>
    <s v="CP001"/>
    <s v="激光打印机 ProLaser 200 "/>
    <n v="2499"/>
    <n v="8"/>
    <n v="8"/>
    <n v="1"/>
    <n v="19992"/>
    <n v="19992"/>
    <s v="已取消"/>
    <n v="19992"/>
    <n v="1850"/>
    <n v="0.25970388155262103"/>
  </r>
  <r>
    <s v="DD-20260626-0143"/>
    <d v="2026-06-26T00:00:00"/>
    <s v="2026-06-26"/>
    <s v="KH018"/>
    <s v="厦门鹭岛文创"/>
    <s v="厦门鹭岛文创"/>
    <s v="KH018"/>
    <s v="软件服务"/>
    <x v="97"/>
    <s v="0143"/>
    <s v="C"/>
    <s v="张伟"/>
    <s v="华南"/>
    <x v="0"/>
    <s v="CP012"/>
    <s v="云存储服务（1TB/年）"/>
    <n v="599"/>
    <n v="32"/>
    <n v="32"/>
    <n v="0.95"/>
    <n v="19168"/>
    <n v="19168"/>
    <s v="已完成"/>
    <n v="18209.599999999999"/>
    <n v="250"/>
    <n v="0.56067129426236706"/>
  </r>
  <r>
    <s v="DD-20260627-0144"/>
    <d v="2026-06-27T00:00:00"/>
    <s v="2026-06-27"/>
    <s v="KH003"/>
    <s v="广州启航教育"/>
    <s v="广州启航教育"/>
    <s v="KH003"/>
    <s v="办公设备"/>
    <x v="98"/>
    <s v="0144"/>
    <s v="A"/>
    <s v="张伟"/>
    <s v="华南"/>
    <x v="0"/>
    <s v="CP002"/>
    <s v="多功能一体机 PrintMaster 300"/>
    <n v="3599"/>
    <n v="4"/>
    <n v="4"/>
    <n v="1"/>
    <n v="14396"/>
    <n v="14396"/>
    <s v="已完成"/>
    <n v="14396"/>
    <n v="2700"/>
    <n v="0.24979160878021672"/>
  </r>
  <r>
    <s v="DD-20260628-0145"/>
    <d v="2026-06-28T00:00:00"/>
    <s v="2026-06-28"/>
    <s v="KH012"/>
    <s v="长沙麓山科技"/>
    <s v="长沙麓山科技"/>
    <s v="KH012"/>
    <s v="办公耗材"/>
    <x v="99"/>
    <s v="0145"/>
    <s v="B"/>
    <s v="李娜"/>
    <s v="华中 "/>
    <x v="2"/>
    <s v="CP008"/>
    <s v="A4复印纸（5包/箱）"/>
    <n v="128"/>
    <n v="43"/>
    <n v="43"/>
    <n v="0.95"/>
    <n v="5504"/>
    <n v="5504"/>
    <s v="待付款"/>
    <n v="5228.8"/>
    <n v="95"/>
    <n v="0.21875000000000003"/>
  </r>
  <r>
    <s v="DD-20260629-0146"/>
    <s v="2026.6.29"/>
    <s v="2026-06-29"/>
    <s v="KH014"/>
    <s v="宁波海港实业"/>
    <s v="宁波海港实业"/>
    <s v="KH014"/>
    <s v="办公设备"/>
    <x v="100"/>
    <s v="0146"/>
    <s v="B"/>
    <s v="孙悦"/>
    <s v="华东"/>
    <x v="1"/>
    <s v="CP003"/>
    <s v="碎纸机 SafeCut S8"/>
    <n v="899"/>
    <n v="4"/>
    <n v="4"/>
    <n v="1"/>
    <n v="3596"/>
    <n v="3596"/>
    <s v="待付款"/>
    <n v="3596"/>
    <n v="620"/>
    <n v="0.31034482758620691"/>
  </r>
  <r>
    <s v="DD-20260630-0147"/>
    <d v="2026-06-30T00:00:00"/>
    <s v="2026-06-30"/>
    <s v="KH010"/>
    <s v="苏州创智科技"/>
    <s v="苏州创智科技"/>
    <s v="KH010"/>
    <s v="电子数码"/>
    <x v="101"/>
    <s v="0147"/>
    <s v="A"/>
    <s v="孙悦"/>
    <s v="华东"/>
    <x v="1"/>
    <s v="CP004"/>
    <s v="笔记本电脑 TechBook 14"/>
    <n v="5699"/>
    <n v="7"/>
    <n v="7"/>
    <n v="1"/>
    <n v="39893"/>
    <n v="39893"/>
    <s v="已完成"/>
    <n v="39893"/>
    <n v="4800"/>
    <n v="0.15774697315318478"/>
  </r>
  <r>
    <s v="DD-20260630-0148"/>
    <d v="2026-06-30T00:00:00"/>
    <s v="2026-06-30"/>
    <s v="KH001"/>
    <s v="北京华信科技"/>
    <s v="北京华信科技"/>
    <s v="KH001"/>
    <s v="电子数码"/>
    <x v="101"/>
    <s v="0148"/>
    <s v="A"/>
    <s v="李娜"/>
    <s v="华北"/>
    <x v="3"/>
    <s v="CP007"/>
    <s v="无线键鼠套装 KeyFree 2.0"/>
    <n v="299"/>
    <n v="9"/>
    <n v="9"/>
    <n v="1"/>
    <s v="¥2,691.00"/>
    <n v="2691"/>
    <s v="已完成"/>
    <n v="2691"/>
    <n v="190"/>
    <n v="0.36454849498327757"/>
  </r>
  <r>
    <s v="DD-20260701-0149"/>
    <d v="2026-07-01T00:00:00"/>
    <s v="2026-07-01"/>
    <s v="KH012"/>
    <s v="长沙麓山科技"/>
    <s v="长沙麓山科技"/>
    <s v="KH012"/>
    <s v="办公设备"/>
    <x v="102"/>
    <s v="0149"/>
    <s v="B"/>
    <s v="刘洋"/>
    <s v="华中"/>
    <x v="2"/>
    <s v="CP003"/>
    <s v="碎纸机 SafeCut S8"/>
    <n v="899"/>
    <n v="3"/>
    <n v="3"/>
    <n v="1"/>
    <n v="2697"/>
    <n v="2697"/>
    <s v="已完成"/>
    <n v="2697"/>
    <n v="620"/>
    <n v="0.31034482758620691"/>
  </r>
  <r>
    <s v="DD-20260702-0150"/>
    <s v="2026.7.2"/>
    <s v="2026-07-02"/>
    <s v="KH006"/>
    <s v="成都天府商贸"/>
    <s v="成都天府商贸"/>
    <s v="KH006"/>
    <s v="电子数码"/>
    <x v="103"/>
    <s v="0150"/>
    <s v="C"/>
    <s v="王强"/>
    <s v="西南区"/>
    <x v="4"/>
    <s v="CP005"/>
    <s v="台式电脑 PowerDesk 500"/>
    <n v="4299"/>
    <n v="11"/>
    <n v="11"/>
    <n v="0.95"/>
    <n v="47289"/>
    <n v="47289"/>
    <s v="已完成"/>
    <n v="44924.549999999996"/>
    <n v="3500"/>
    <n v="0.14300755377627591"/>
  </r>
  <r>
    <s v="DD-20260703-0151"/>
    <d v="2026-07-03T00:00:00"/>
    <s v="2026-07-03"/>
    <s v="KH001"/>
    <s v="北京华信科技"/>
    <s v="北京华信科技"/>
    <s v="KH001"/>
    <s v="办公设备"/>
    <x v="20"/>
    <s v="0151"/>
    <s v="A"/>
    <s v="刘洋"/>
    <s v="华北"/>
    <x v="3"/>
    <s v="CP002"/>
    <s v="多功能一体机 PrintMaster 300"/>
    <n v="3599"/>
    <n v="3"/>
    <n v="3"/>
    <n v="1"/>
    <n v="10797"/>
    <n v="10797"/>
    <s v="待付款"/>
    <n v="10797"/>
    <n v="2700"/>
    <n v="0.24979160878021672"/>
  </r>
  <r>
    <s v="DD-20260703-0153"/>
    <d v="2026-07-03T00:00:00"/>
    <s v="2026-07-03"/>
    <s v="KH010"/>
    <s v="苏州创智科技"/>
    <s v="苏州创智科技"/>
    <s v="KH010"/>
    <s v="办公设备"/>
    <x v="20"/>
    <s v="0153"/>
    <s v="A"/>
    <s v="李娜"/>
    <s v="华东"/>
    <x v="1"/>
    <s v="CP003"/>
    <s v="碎纸机 SafeCut S8"/>
    <n v="899"/>
    <n v="7"/>
    <n v="7"/>
    <n v="1"/>
    <n v="6293"/>
    <n v="6293"/>
    <s v="已取消"/>
    <n v="6293"/>
    <n v="620"/>
    <n v="0.31034482758620691"/>
  </r>
  <r>
    <s v="DD-20260705-0154"/>
    <d v="2026-07-05T00:00:00"/>
    <s v="2026-07-05"/>
    <s v="KH010"/>
    <s v="苏州创智科技"/>
    <s v="苏州创智科技"/>
    <s v="KH010"/>
    <s v="电子数码"/>
    <x v="104"/>
    <s v="0154"/>
    <s v="A"/>
    <s v="杨帆"/>
    <s v="华东"/>
    <x v="1"/>
    <s v="CP007"/>
    <s v="无线键鼠套装 KeyFree 2.0"/>
    <n v="299"/>
    <n v="10"/>
    <n v="10"/>
    <n v="0.95"/>
    <n v="2990"/>
    <n v="2990"/>
    <s v="已完成"/>
    <n v="2840.5"/>
    <n v="190"/>
    <n v="0.33110367892976589"/>
  </r>
  <r>
    <s v="DD-20260706-0155"/>
    <d v="2026-07-06T00:00:00"/>
    <s v="2026-07-06"/>
    <s v="KH006"/>
    <s v="成都天府商贸"/>
    <s v="成都天府商贸"/>
    <s v="KH006"/>
    <s v="办公耗材"/>
    <x v="105"/>
    <s v="0155"/>
    <s v="C"/>
    <s v="张伟"/>
    <s v="西南区"/>
    <x v="4"/>
    <s v="CP010"/>
    <s v="签字笔盒装（12支）"/>
    <n v="45"/>
    <s v="85"/>
    <n v="85"/>
    <n v="0.9"/>
    <n v="3825"/>
    <n v="3825"/>
    <s v="已发货"/>
    <n v="3442.5"/>
    <n v="28"/>
    <n v="0.30864197530864196"/>
  </r>
  <r>
    <s v="DD-20260707-0156"/>
    <s v="2026.7.7"/>
    <s v="2026-07-07"/>
    <s v="KH004"/>
    <s v="深圳蓝鲸网络"/>
    <s v="深圳蓝鲸网络"/>
    <s v="KH004"/>
    <s v="电子数码"/>
    <x v="106"/>
    <s v="0156"/>
    <s v="B"/>
    <s v="陈静"/>
    <s v="华南"/>
    <x v="0"/>
    <s v="CP006"/>
    <s v="显示器 ViewMax 27"/>
    <n v="1299"/>
    <n v="4"/>
    <n v="4"/>
    <n v="1"/>
    <n v="5196"/>
    <n v="5196"/>
    <s v="已发货"/>
    <n v="5196"/>
    <n v="950"/>
    <n v="0.26866820631254812"/>
  </r>
  <r>
    <s v="DD-20260710-0157"/>
    <s v="2026/7/10"/>
    <s v="2026-07-10"/>
    <s v="KH011"/>
    <s v="重庆山城办公设备"/>
    <s v="重庆山城办公设备"/>
    <s v="KH011"/>
    <s v="软件服务"/>
    <x v="107"/>
    <s v="0157"/>
    <s v="B"/>
    <s v="陈静"/>
    <s v=" 西南"/>
    <x v="4"/>
    <s v="CP012"/>
    <s v="云存储服务（1TB/年）"/>
    <n v="599"/>
    <n v="13"/>
    <n v="13"/>
    <n v="0.95"/>
    <n v="7787"/>
    <n v="7787"/>
    <s v="已发货"/>
    <n v="7397.65"/>
    <n v="250"/>
    <n v="0.56067129426236706"/>
  </r>
  <r>
    <s v="DD-20260712-0158"/>
    <d v="2026-07-12T00:00:00"/>
    <s v="2026-07-12"/>
    <s v="KH001"/>
    <s v="北京华信科技"/>
    <s v="北京华信科技"/>
    <s v="KH001"/>
    <s v="办公设备"/>
    <x v="108"/>
    <s v="0158"/>
    <s v="A"/>
    <s v="孙悦"/>
    <s v="华北区"/>
    <x v="3"/>
    <s v="CP001"/>
    <s v="激光打印机 ProLaser 200"/>
    <n v="2499"/>
    <n v="3"/>
    <n v="3"/>
    <n v="1"/>
    <n v="7122.15"/>
    <n v="7497"/>
    <s v="已发货"/>
    <n v="7497"/>
    <n v="1850"/>
    <n v="0.25970388155262103"/>
  </r>
  <r>
    <s v="DD-20260712-0159"/>
    <d v="2026-07-12T00:00:00"/>
    <s v="2026-07-12"/>
    <s v="KH004"/>
    <s v="深圳蓝鲸网络"/>
    <s v="深圳蓝鲸网络"/>
    <s v="KH004"/>
    <s v="办公耗材"/>
    <x v="108"/>
    <s v="0159"/>
    <s v="B"/>
    <s v="孙悦"/>
    <s v="华南区"/>
    <x v="0"/>
    <s v="CP008"/>
    <s v="A4复印纸（5包/箱）"/>
    <n v="128"/>
    <n v="30"/>
    <n v="30"/>
    <n v="0.95"/>
    <n v="3840"/>
    <n v="3840"/>
    <s v="已完成"/>
    <n v="3648"/>
    <n v="95"/>
    <n v="0.21875"/>
  </r>
  <r>
    <s v="DD-20260716-0160"/>
    <d v="2026-07-16T00:00:00"/>
    <s v="2026-07-16"/>
    <s v="KH003"/>
    <s v="广州启航教育"/>
    <s v="广州启航教育"/>
    <s v="KH003"/>
    <s v="办公耗材"/>
    <x v="109"/>
    <s v="0160"/>
    <s v="A"/>
    <s v="王强"/>
    <s v="华南区"/>
    <x v="0"/>
    <s v="CP009"/>
    <s v="激光硒鼓 TonerMax 12A "/>
    <n v="385"/>
    <n v="49"/>
    <n v="49"/>
    <n v="0.95"/>
    <n v="18865"/>
    <n v="18865"/>
    <s v="已完成"/>
    <n v="17921.75"/>
    <n v="260"/>
    <n v="0.28913192071086807"/>
  </r>
  <r>
    <s v="DD-20260716-0161"/>
    <d v="2026-07-16T00:00:00"/>
    <s v="2026-07-16"/>
    <s v="KH004"/>
    <s v="深圳蓝鲸网络"/>
    <s v="深圳蓝鲸网络"/>
    <s v="KH004"/>
    <s v="电子数码"/>
    <x v="109"/>
    <s v="0161"/>
    <s v="B"/>
    <s v="王强"/>
    <s v="华南"/>
    <x v="0"/>
    <s v="CP007"/>
    <s v="无线键鼠套装 KeyFree 2.0"/>
    <n v="299"/>
    <n v="5"/>
    <n v="5"/>
    <n v="1"/>
    <s v="¥1,495.00"/>
    <n v="1495"/>
    <s v="已完成"/>
    <n v="1495"/>
    <n v="190"/>
    <n v="0.36454849498327757"/>
  </r>
  <r>
    <s v="DD-20260716-0162"/>
    <d v="2026-07-16T00:00:00"/>
    <s v="2026-07-16"/>
    <s v="KH012"/>
    <s v="长沙麓山科技"/>
    <s v="长沙麓山科技"/>
    <s v="KH012"/>
    <s v="电子数码"/>
    <x v="109"/>
    <s v="0162"/>
    <s v="B"/>
    <s v="李娜"/>
    <s v="华中"/>
    <x v="2"/>
    <s v="CP007"/>
    <s v="无线键鼠套装 KeyFree 2.0"/>
    <n v="299"/>
    <n v="2"/>
    <n v="2"/>
    <n v="1"/>
    <n v="598"/>
    <n v="598"/>
    <s v="已完成"/>
    <n v="598"/>
    <n v="190"/>
    <n v="0.36454849498327757"/>
  </r>
  <r>
    <s v="DD-20260717-0163"/>
    <d v="2026-07-17T00:00:00"/>
    <s v="2026-07-17"/>
    <s v="KH005"/>
    <s v="杭州云图信息"/>
    <s v="杭州云图信息"/>
    <s v="KH005"/>
    <s v="软件服务"/>
    <x v="110"/>
    <s v="0163"/>
    <s v="A"/>
    <s v="陈静"/>
    <s v="华东区"/>
    <x v="1"/>
    <s v="CP011"/>
    <s v="办公软件年费授权"/>
    <n v="699"/>
    <n v="26"/>
    <n v="26"/>
    <n v="0.95"/>
    <s v="¥18,174.00"/>
    <n v="18174"/>
    <s v="已完成"/>
    <n v="17265.3"/>
    <n v="300"/>
    <n v="0.54822679015134401"/>
  </r>
  <r>
    <s v="DD-20260718-0164"/>
    <s v="2026.7.18"/>
    <s v="2026-07-18"/>
    <s v="KH008"/>
    <s v="南京紫金山软件园运营"/>
    <s v="南京紫金山软件园运营"/>
    <s v="KH008"/>
    <s v="软件服务"/>
    <x v="111"/>
    <s v="0164"/>
    <s v="C"/>
    <s v="陈静"/>
    <s v="华东"/>
    <x v="1"/>
    <s v="CP012"/>
    <s v="云存储服务（1TB/年）"/>
    <n v="599"/>
    <n v="21"/>
    <n v="21"/>
    <n v="0.95"/>
    <n v="12579"/>
    <n v="12579"/>
    <s v="已完成"/>
    <n v="11950.05"/>
    <n v="250"/>
    <n v="0.56067129426236706"/>
  </r>
  <r>
    <s v="DD-20260720-0165"/>
    <d v="2026-07-20T00:00:00"/>
    <s v="2026-07-20"/>
    <s v="KH012"/>
    <s v="长沙麓山科技"/>
    <s v="长沙麓山科技"/>
    <s v="KH012"/>
    <s v="电子数码"/>
    <x v="112"/>
    <s v="0165"/>
    <s v="B"/>
    <s v="王强"/>
    <s v="华中"/>
    <x v="2"/>
    <s v="CP007"/>
    <s v="无线键鼠套装 KeyFree 2.0"/>
    <n v="299"/>
    <n v="6"/>
    <n v="6"/>
    <n v="1"/>
    <n v="1794"/>
    <n v="1794"/>
    <s v="已完成"/>
    <n v="1794"/>
    <n v="190"/>
    <n v="0.36454849498327757"/>
  </r>
  <r>
    <s v="DD-20260720-0166"/>
    <s v="2026年7月20日"/>
    <s v="2026-07-20"/>
    <s v="KH010"/>
    <s v="苏州创智科技"/>
    <s v="苏州创智科技"/>
    <s v="KH010"/>
    <s v="电子数码"/>
    <x v="112"/>
    <s v="0166"/>
    <s v="A"/>
    <s v="陈静"/>
    <s v="华东"/>
    <x v="1"/>
    <s v="CP004"/>
    <s v="笔记本电脑 TechBook 14"/>
    <n v="5699"/>
    <n v="12"/>
    <n v="12"/>
    <n v="0.95"/>
    <n v="68388"/>
    <n v="68388"/>
    <s v="已发货"/>
    <n v="64968.6"/>
    <n v="4800"/>
    <n v="0.11341786647703658"/>
  </r>
  <r>
    <s v="DD-20260724-0167"/>
    <d v="2026-07-24T00:00:00"/>
    <s v="2026-07-24"/>
    <s v="KH015"/>
    <s v="佛山美的家电商贸"/>
    <s v="佛山美的家电商贸"/>
    <s v="KH015"/>
    <s v="电子数码"/>
    <x v="113"/>
    <s v="0167"/>
    <s v="A"/>
    <s v="杨帆"/>
    <s v="华南"/>
    <x v="0"/>
    <s v="CP007"/>
    <s v="无线键鼠套装 KeyFree 2.0"/>
    <n v="299"/>
    <n v="12"/>
    <n v="12"/>
    <n v="0.95"/>
    <n v="3588"/>
    <n v="3588"/>
    <s v="已完成"/>
    <n v="3408.6"/>
    <n v="190"/>
    <n v="0.33110367892976589"/>
  </r>
  <r>
    <s v="DD-20260725-0168"/>
    <d v="2026-07-25T00:00:00"/>
    <s v="2026-07-25"/>
    <s v="KH002"/>
    <s v="上海锦程贸易"/>
    <s v="上海锦程贸易"/>
    <s v="KH002"/>
    <s v="电子数码"/>
    <x v="114"/>
    <s v="0168"/>
    <s v="B"/>
    <s v="杨帆"/>
    <s v="华东区"/>
    <x v="1"/>
    <s v="CP007"/>
    <s v="无线键鼠套装 KeyFree 2.0"/>
    <n v="299"/>
    <n v="10"/>
    <n v="10"/>
    <n v="0.95"/>
    <n v="2990"/>
    <n v="2990"/>
    <s v="已发货"/>
    <n v="2840.5"/>
    <n v="190"/>
    <n v="0.33110367892976589"/>
  </r>
  <r>
    <s v="DD-20260725-0169"/>
    <d v="2026-07-25T00:00:00"/>
    <s v="2026-07-25"/>
    <s v="KH007"/>
    <s v="武汉长江实业"/>
    <s v="武汉长江实业"/>
    <s v="KH007"/>
    <s v="办公耗材"/>
    <x v="114"/>
    <s v="0169"/>
    <s v="B"/>
    <s v="赵磊"/>
    <s v="华中"/>
    <x v="2"/>
    <s v="CP009"/>
    <s v="激光硒鼓 TonerMax 12A"/>
    <n v="385"/>
    <n v="48"/>
    <n v="48"/>
    <n v="0.95"/>
    <n v="18480"/>
    <n v="18480"/>
    <s v="已发货"/>
    <n v="17556"/>
    <n v="260"/>
    <n v="0.28913192071086807"/>
  </r>
  <r>
    <s v="DD-20260726-0170"/>
    <s v="2026年7月26日"/>
    <s v="2026-07-26"/>
    <s v="KH006"/>
    <s v="成都天府商贸"/>
    <s v="成都天府商贸"/>
    <s v="KH006"/>
    <s v="软件服务"/>
    <x v="82"/>
    <s v="0170"/>
    <s v="C"/>
    <s v="王强"/>
    <s v="西南"/>
    <x v="4"/>
    <s v="CP012"/>
    <s v="云存储服务（1TB/年）"/>
    <n v="599"/>
    <n v="17"/>
    <n v="17"/>
    <n v="0.95"/>
    <n v="10183"/>
    <n v="10183"/>
    <s v="已完成"/>
    <n v="9673.85"/>
    <n v="250"/>
    <n v="0.56067129426236717"/>
  </r>
  <r>
    <s v="DD-20260726-0171"/>
    <d v="2026-07-26T00:00:00"/>
    <s v="2026-07-26"/>
    <s v="KH001"/>
    <s v="北京华信科技"/>
    <s v="北京华信科技"/>
    <s v="KH001"/>
    <s v="办公耗材"/>
    <x v="82"/>
    <s v="0171"/>
    <s v="A"/>
    <s v="陈静"/>
    <s v="华北"/>
    <x v="3"/>
    <s v="CP009"/>
    <s v="激光硒鼓 TonerMax 12A"/>
    <n v="385"/>
    <n v="35"/>
    <n v="35"/>
    <n v="0.95"/>
    <n v="13475"/>
    <n v="13475"/>
    <s v="已完成"/>
    <n v="12801.25"/>
    <n v="260"/>
    <n v="0.28913192071086807"/>
  </r>
  <r>
    <s v="DD-20260726-0173"/>
    <s v="2026.7.26"/>
    <s v="2026-07-26"/>
    <s v="KH013"/>
    <s v="石家庄振华商贸"/>
    <s v="石家庄振华商贸"/>
    <s v="KH013"/>
    <s v="办公耗材"/>
    <x v="82"/>
    <s v="0173"/>
    <s v="C"/>
    <s v="张伟"/>
    <s v="华北"/>
    <x v="3"/>
    <s v="CP009"/>
    <s v="激光硒鼓 TonerMax 12A"/>
    <n v="385"/>
    <n v="104"/>
    <n v="104"/>
    <n v="0.85"/>
    <n v="40040"/>
    <n v="40040"/>
    <s v="待付款"/>
    <n v="34034"/>
    <n v="260"/>
    <n v="0.2055003819709702"/>
  </r>
  <r>
    <s v="DD-20260727-0174"/>
    <d v="2026-07-27T00:00:00"/>
    <s v="2026-07-27"/>
    <s v="KH010"/>
    <s v="苏州创智科技"/>
    <s v="苏州创智科技"/>
    <s v="KH010"/>
    <s v="办公耗材"/>
    <x v="115"/>
    <s v="0174"/>
    <s v="A"/>
    <s v="赵磊"/>
    <s v="华东"/>
    <x v="1"/>
    <s v="CP008"/>
    <s v="A4复印纸（5包/箱）"/>
    <n v="128"/>
    <n v="117"/>
    <n v="117"/>
    <n v="0.85"/>
    <n v="14976"/>
    <n v="14976"/>
    <s v="已完成"/>
    <n v="12729.6"/>
    <n v="95"/>
    <n v="0.12683823529411767"/>
  </r>
  <r>
    <s v="DD-20260728-0175"/>
    <s v="2026.7.28"/>
    <s v="2026-07-28"/>
    <s v="KH014"/>
    <s v="宁波海港实业"/>
    <s v="宁波海港实业"/>
    <s v="KH014"/>
    <s v="软件服务"/>
    <x v="116"/>
    <s v="0175"/>
    <s v="B"/>
    <s v="陈静"/>
    <s v="华东"/>
    <x v="1"/>
    <s v="CP011"/>
    <s v="办公软件年费授权"/>
    <n v="699"/>
    <n v="34"/>
    <n v="34"/>
    <n v="0.95"/>
    <n v="23766"/>
    <n v="23766"/>
    <s v="待付款"/>
    <n v="22577.7"/>
    <n v="300"/>
    <n v="0.54822679015134401"/>
  </r>
  <r>
    <s v="DD-20260729-0176"/>
    <d v="2026-07-29T00:00:00"/>
    <s v="2026-07-29"/>
    <s v="KH016"/>
    <s v="昆明滇池科技"/>
    <s v="昆明滇池科技"/>
    <s v="KH016"/>
    <s v="办公耗材"/>
    <x v="117"/>
    <s v="0176"/>
    <s v="C"/>
    <s v="杨帆"/>
    <s v="西南区"/>
    <x v="4"/>
    <s v="CP009"/>
    <s v="激光硒鼓 TonerMax 12A"/>
    <n v="385"/>
    <n v="54"/>
    <n v="54"/>
    <n v="0.9"/>
    <n v="20790"/>
    <n v="20790"/>
    <s v="已发货"/>
    <n v="18711"/>
    <n v="260"/>
    <n v="0.24963924963924963"/>
  </r>
  <r>
    <s v="DD-20260729-0177"/>
    <d v="2026-07-29T00:00:00"/>
    <s v="2026-07-29"/>
    <s v="KH010"/>
    <s v="苏州创智科技"/>
    <s v="苏州创智科技"/>
    <s v="KH010"/>
    <s v="办公设备"/>
    <x v="117"/>
    <s v="0177"/>
    <s v="A"/>
    <s v="赵磊"/>
    <s v="华东"/>
    <x v="1"/>
    <s v="CP001"/>
    <s v="激光打印机 ProLaser 200"/>
    <n v="2499"/>
    <n v="7"/>
    <n v="7"/>
    <n v="1"/>
    <n v="19242.3"/>
    <n v="17493"/>
    <s v="已发货"/>
    <n v="17493"/>
    <n v="1850"/>
    <n v="0.25970388155262103"/>
  </r>
  <r>
    <s v="DD-20260731-0178"/>
    <s v="2026年7月31日"/>
    <s v="2026-07-31"/>
    <s v="KH018"/>
    <s v="厦门鹭岛文创"/>
    <s v="厦门鹭岛文创"/>
    <s v="KH018"/>
    <s v="软件服务"/>
    <x v="118"/>
    <s v="0178"/>
    <s v="C"/>
    <s v="赵磊"/>
    <s v="华南"/>
    <x v="0"/>
    <s v="CP011"/>
    <s v="办公软件年费授权"/>
    <n v="699"/>
    <n v="17"/>
    <n v="17"/>
    <n v="0.95"/>
    <n v="11883"/>
    <n v="11883"/>
    <s v="已完成"/>
    <n v="11288.85"/>
    <n v="300"/>
    <n v="0.54822679015134401"/>
  </r>
  <r>
    <s v="DD-20260801-0179"/>
    <d v="2026-08-01T00:00:00"/>
    <s v="2026-08-01"/>
    <s v="KH015"/>
    <s v="佛山美的家电商贸"/>
    <s v="佛山美的家电商贸"/>
    <s v="KH015"/>
    <s v="软件服务"/>
    <x v="119"/>
    <s v="0179"/>
    <s v="A"/>
    <s v="刘洋"/>
    <s v="华南"/>
    <x v="0"/>
    <s v="CP011"/>
    <s v="办公软件年费授权"/>
    <n v="699"/>
    <n v="8"/>
    <n v="8"/>
    <n v="1"/>
    <n v="5032.8"/>
    <n v="5592"/>
    <s v="已完成"/>
    <n v="5592"/>
    <n v="300"/>
    <n v="0.57081545064377681"/>
  </r>
  <r>
    <s v="DD-20260801-0180"/>
    <d v="2026-08-01T00:00:00"/>
    <s v="2026-08-01"/>
    <s v="KH010"/>
    <s v="苏州创智科技"/>
    <s v="苏州创智科技"/>
    <s v="KH010"/>
    <s v="电子数码"/>
    <x v="119"/>
    <s v="0180"/>
    <s v="A"/>
    <s v="赵磊"/>
    <s v="华东"/>
    <x v="1"/>
    <s v="CP007"/>
    <s v="无线键鼠套装 KeyFree 2.0"/>
    <n v="299"/>
    <n v="3"/>
    <n v="3"/>
    <n v="1"/>
    <n v="897"/>
    <n v="897"/>
    <s v="已完成"/>
    <n v="897"/>
    <n v="190"/>
    <n v="0.36454849498327757"/>
  </r>
  <r>
    <s v="DD-20260804-0181"/>
    <d v="2026-08-04T00:00:00"/>
    <s v="2026-08-04"/>
    <s v="KH007"/>
    <s v="武汉长江实业"/>
    <s v="武汉长江实业"/>
    <s v="KH007"/>
    <s v="办公耗材"/>
    <x v="120"/>
    <s v="0181"/>
    <s v="B"/>
    <s v="李娜"/>
    <s v="华中"/>
    <x v="2"/>
    <s v="CP008"/>
    <s v="A4复印纸（5包/箱）"/>
    <n v="128"/>
    <n v="22"/>
    <n v="22"/>
    <n v="0.95"/>
    <n v="2816"/>
    <n v="2816"/>
    <s v="已完成"/>
    <n v="2675.2"/>
    <n v="95"/>
    <n v="0.21874999999999994"/>
  </r>
  <r>
    <s v="DD-20260804-0182"/>
    <d v="2026-08-04T00:00:00"/>
    <s v="2026-08-04"/>
    <s v="KH002"/>
    <s v="上海锦程贸易"/>
    <s v="上海锦程贸易"/>
    <s v="KH002"/>
    <s v="办公耗材"/>
    <x v="120"/>
    <s v="0182"/>
    <s v="B"/>
    <s v="李娜"/>
    <s v="华东"/>
    <x v="1"/>
    <s v="CP009"/>
    <s v="激光硒鼓 TonerMax 12A"/>
    <n v="385"/>
    <n v="91"/>
    <n v="91"/>
    <n v="0.9"/>
    <n v="35035"/>
    <n v="35035"/>
    <s v="已完成"/>
    <n v="31531.5"/>
    <n v="260"/>
    <n v="0.24963924963924963"/>
  </r>
  <r>
    <s v="DD-20260805-0183"/>
    <d v="2026-08-05T00:00:00"/>
    <s v="2026-08-05"/>
    <s v="KH005"/>
    <s v="杭州云图信息"/>
    <s v="杭州云图信息"/>
    <s v="KH005"/>
    <s v="软件服务"/>
    <x v="121"/>
    <s v="0183"/>
    <s v="A"/>
    <s v="李娜"/>
    <s v="华东区"/>
    <x v="1"/>
    <s v="CP011"/>
    <s v="办公软件年费授权"/>
    <n v="699"/>
    <n v="8"/>
    <n v="8"/>
    <n v="1"/>
    <n v="5592"/>
    <n v="5592"/>
    <s v="已发货"/>
    <n v="5592"/>
    <n v="300"/>
    <n v="0.57081545064377681"/>
  </r>
  <r>
    <s v="DD-20260806-0184"/>
    <d v="2026-08-06T00:00:00"/>
    <s v="2026-08-06"/>
    <s v="KH013"/>
    <s v="石家庄振华商贸"/>
    <s v="石家庄振华商贸"/>
    <s v="KH013"/>
    <s v="电子数码"/>
    <x v="122"/>
    <s v="0184"/>
    <s v="C"/>
    <s v="李娜"/>
    <s v="华北区"/>
    <x v="3"/>
    <s v="CP007"/>
    <s v="无线键鼠套装 KeyFree 2.0"/>
    <n v="299"/>
    <s v="7"/>
    <n v="7"/>
    <n v="1"/>
    <n v="2093"/>
    <n v="2093"/>
    <s v="已发货"/>
    <n v="2093"/>
    <n v="190"/>
    <n v="0.36454849498327757"/>
  </r>
  <r>
    <s v="DD-20260806-0185"/>
    <d v="2026-08-06T00:00:00"/>
    <s v="2026-08-06"/>
    <s v="KH016"/>
    <s v="昆明滇池科技"/>
    <s v="昆明滇池科技"/>
    <s v="KH016"/>
    <s v="电子数码"/>
    <x v="122"/>
    <s v="0185"/>
    <s v="C"/>
    <s v="孙悦"/>
    <s v="西南区"/>
    <x v="4"/>
    <s v="CP004"/>
    <s v="笔记本电脑 TechBook 14"/>
    <n v="5699"/>
    <s v="9"/>
    <n v="9"/>
    <n v="1"/>
    <n v="51291"/>
    <n v="51291"/>
    <s v="已完成"/>
    <n v="51291"/>
    <n v="4800"/>
    <n v="0.15774697315318478"/>
  </r>
  <r>
    <s v="DD-20260809-0186"/>
    <d v="2026-08-09T00:00:00"/>
    <s v="2026-08-09"/>
    <s v="KH003"/>
    <s v="广州启航教育"/>
    <s v="广州启航教育"/>
    <s v="KH003"/>
    <s v="办公设备"/>
    <x v="123"/>
    <s v="0186"/>
    <s v="A"/>
    <s v="王强"/>
    <s v="华南"/>
    <x v="0"/>
    <s v="CP002"/>
    <s v="多功能一体机 PrintMaster 300"/>
    <n v="3599"/>
    <n v="4"/>
    <n v="4"/>
    <n v="1"/>
    <n v="14396"/>
    <n v="14396"/>
    <s v="已完成"/>
    <n v="14396"/>
    <n v="2700"/>
    <n v="0.24979160878021672"/>
  </r>
  <r>
    <s v="DD-20260810-0187"/>
    <s v="2026/8/10"/>
    <s v="2026-08-10"/>
    <s v="KH019"/>
    <s v="北京中关新材"/>
    <s v="北京中关新材"/>
    <s v="KH019"/>
    <s v="软件服务"/>
    <x v="124"/>
    <s v="0187"/>
    <s v="B"/>
    <s v="赵磊"/>
    <s v="华北"/>
    <x v="3"/>
    <s v="CP012"/>
    <s v="云存储服务（1TB/年）"/>
    <n v="599"/>
    <n v="37"/>
    <n v="37"/>
    <n v="0.95"/>
    <n v="22163"/>
    <n v="22163"/>
    <s v="已发货"/>
    <n v="21054.85"/>
    <n v="250"/>
    <n v="0.56067129426236706"/>
  </r>
  <r>
    <s v="DD-20260811-0188"/>
    <d v="2026-08-11T00:00:00"/>
    <s v="2026-08-11"/>
    <s v="KH003"/>
    <s v="广州启航教育"/>
    <s v="广州启航教育"/>
    <s v="KH003"/>
    <s v="办公设备"/>
    <x v="125"/>
    <s v="0188"/>
    <s v="A"/>
    <s v="赵磊"/>
    <s v="华南区"/>
    <x v="0"/>
    <s v="CP001"/>
    <s v="激光打印机 ProLaser 200"/>
    <n v="2499"/>
    <n v="8"/>
    <n v="8"/>
    <n v="1"/>
    <n v="19992"/>
    <n v="19992"/>
    <s v="待付款"/>
    <n v="19992"/>
    <n v="1850"/>
    <n v="0.25970388155262103"/>
  </r>
  <r>
    <s v="DD-20260813-0189"/>
    <s v="2026/8/13"/>
    <s v="2026-08-13"/>
    <s v="KH001"/>
    <s v="北京华信科技"/>
    <s v="北京华信科技"/>
    <s v="KH001"/>
    <s v="办公耗材"/>
    <x v="126"/>
    <s v="0189"/>
    <s v="A"/>
    <s v="孙悦"/>
    <s v="华北"/>
    <x v="3"/>
    <s v="CP008"/>
    <s v="A4复印纸（5包/箱）"/>
    <n v="128"/>
    <n v="67"/>
    <n v="67"/>
    <n v="0.9"/>
    <n v="8576"/>
    <n v="8576"/>
    <s v="已完成"/>
    <n v="7718.4000000000005"/>
    <n v="95"/>
    <n v="0.17534722222222229"/>
  </r>
  <r>
    <s v="DD-20260813-0190"/>
    <d v="2026-08-13T00:00:00"/>
    <s v="2026-08-13"/>
    <s v="KH002"/>
    <s v="上海锦程贸易"/>
    <s v="上海锦程贸易"/>
    <s v="KH002"/>
    <s v="办公设备"/>
    <x v="126"/>
    <s v="0190"/>
    <s v="B"/>
    <s v="赵磊"/>
    <s v="华东"/>
    <x v="1"/>
    <s v="CP001"/>
    <s v="激光打印机 ProLaser 200"/>
    <n v="2499"/>
    <n v="3"/>
    <n v="3"/>
    <n v="1"/>
    <n v="6747.3"/>
    <n v="7497"/>
    <s v="已发货"/>
    <n v="7497"/>
    <n v="1850"/>
    <n v="0.25970388155262103"/>
  </r>
  <r>
    <s v="DD-20260814-0191"/>
    <d v="2026-08-14T00:00:00"/>
    <s v="2026-08-14"/>
    <s v="KH005"/>
    <s v="杭州云图信息"/>
    <s v="杭州云图信息"/>
    <s v="KH005"/>
    <s v="办公耗材"/>
    <x v="127"/>
    <s v="0191"/>
    <s v="A"/>
    <s v="赵磊"/>
    <s v="华东区"/>
    <x v="1"/>
    <s v="CP008"/>
    <s v="A4复印纸（5包/箱）"/>
    <n v="128"/>
    <n v="41"/>
    <n v="41"/>
    <n v="0.95"/>
    <n v="5248"/>
    <n v="5248"/>
    <s v="已完成"/>
    <n v="4985.5999999999995"/>
    <n v="95"/>
    <n v="0.21874999999999992"/>
  </r>
  <r>
    <s v="DD-20260815-0192"/>
    <d v="2026-08-15T00:00:00"/>
    <s v="2026-08-15"/>
    <s v="KH019"/>
    <s v="北京中关新材"/>
    <s v="北京中关新材"/>
    <s v="KH019"/>
    <s v="办公设备"/>
    <x v="128"/>
    <s v="0192"/>
    <s v="B"/>
    <s v="陈静"/>
    <s v="华北区"/>
    <x v="3"/>
    <s v="CP001"/>
    <s v="激光打印机 ProLaser 200"/>
    <n v="2499"/>
    <n v="3"/>
    <n v="3"/>
    <n v="1"/>
    <n v="7497"/>
    <n v="7497"/>
    <s v="已完成"/>
    <n v="7497"/>
    <n v="1850"/>
    <n v="0.25970388155262103"/>
  </r>
  <r>
    <s v="DD-20260815-0193"/>
    <d v="2026-08-15T00:00:00"/>
    <s v="2026-08-15"/>
    <s v="KH015"/>
    <s v="佛山美的家电商贸"/>
    <s v="佛山美的家电商贸"/>
    <s v="KH015"/>
    <s v="办公耗材"/>
    <x v="128"/>
    <s v="0193"/>
    <s v="A"/>
    <s v="刘洋"/>
    <s v="华南 "/>
    <x v="0"/>
    <s v="CP010"/>
    <s v="签字笔盒装（12支）"/>
    <n v="45"/>
    <n v="98"/>
    <n v="98"/>
    <n v="0.9"/>
    <n v="4410"/>
    <n v="4410"/>
    <s v="已完成"/>
    <n v="3969"/>
    <n v="28"/>
    <n v="0.30864197530864196"/>
  </r>
  <r>
    <s v="DD-20260815-0194"/>
    <d v="2026-08-15T00:00:00"/>
    <s v="2026-08-15"/>
    <s v="KH015"/>
    <s v="佛山美的家电商贸"/>
    <s v="佛山美的家电商贸"/>
    <s v="KH015"/>
    <s v="电子数码"/>
    <x v="128"/>
    <s v="0194"/>
    <s v="A"/>
    <s v="李娜"/>
    <s v="华南"/>
    <x v="0"/>
    <s v="CP007"/>
    <s v="无线键鼠套装 KeyFree 2.0"/>
    <n v="299"/>
    <n v="11"/>
    <n v="11"/>
    <n v="0.95"/>
    <n v="3289"/>
    <n v="3289"/>
    <s v="已完成"/>
    <n v="3124.5499999999997"/>
    <n v="190"/>
    <n v="0.33110367892976583"/>
  </r>
  <r>
    <s v="DD-20260815-0195"/>
    <d v="2026-08-15T00:00:00"/>
    <s v="2026-08-15"/>
    <s v="KH012"/>
    <s v="长沙麓山科技"/>
    <s v="长沙麓山科技"/>
    <s v="KH012"/>
    <s v="电子数码"/>
    <x v="128"/>
    <s v="0195"/>
    <s v="B"/>
    <s v="陈静"/>
    <s v="华中"/>
    <x v="2"/>
    <s v="CP006"/>
    <s v="显示器 ViewMax 27"/>
    <n v="1299"/>
    <n v="10"/>
    <n v="10"/>
    <n v="0.95"/>
    <n v="12990"/>
    <n v="12990"/>
    <s v="已完成"/>
    <n v="12340.5"/>
    <n v="950"/>
    <n v="0.23017705927636645"/>
  </r>
  <r>
    <s v="DD-20260817-0197"/>
    <d v="2026-08-17T00:00:00"/>
    <s v="2026-08-17"/>
    <s v="KH010"/>
    <s v="苏州创智科技"/>
    <s v="苏州创智科技"/>
    <s v="KH010"/>
    <s v="电子数码"/>
    <x v="129"/>
    <s v="0197"/>
    <s v="A"/>
    <s v="陈静"/>
    <s v="华东"/>
    <x v="1"/>
    <s v="CP005"/>
    <s v="台式电脑 PowerDesk 500"/>
    <n v="4299"/>
    <n v="8"/>
    <n v="8"/>
    <n v="1"/>
    <n v="34392"/>
    <n v="34392"/>
    <s v="已完成"/>
    <n v="34392"/>
    <n v="3500"/>
    <n v="0.18585717608746219"/>
  </r>
  <r>
    <s v="DD-20260817-0198"/>
    <d v="2026-08-17T00:00:00"/>
    <s v="2026-08-17"/>
    <s v="KH017"/>
    <s v="郑州中原物流"/>
    <s v="郑州中原物流"/>
    <s v="KH017"/>
    <s v="电子数码"/>
    <x v="129"/>
    <s v="0198"/>
    <s v="B"/>
    <s v="孙悦"/>
    <s v="华中区"/>
    <x v="2"/>
    <s v="CP005"/>
    <s v="台式电脑 PowerDesk 500"/>
    <n v="4299"/>
    <n v="12"/>
    <n v="12"/>
    <n v="0.95"/>
    <n v="51588"/>
    <n v="51588"/>
    <s v="已完成"/>
    <n v="49008.6"/>
    <n v="3500"/>
    <n v="0.14300755377627597"/>
  </r>
  <r>
    <s v="DD-20260818-0199"/>
    <d v="2026-08-18T00:00:00"/>
    <s v="2026-08-18"/>
    <s v="KH016"/>
    <s v="昆明滇池科技"/>
    <s v="昆明滇池科技"/>
    <s v="KH016"/>
    <s v="电子数码"/>
    <x v="130"/>
    <s v="0199"/>
    <s v="C"/>
    <s v="陈静"/>
    <s v="西南"/>
    <x v="4"/>
    <s v="CP006"/>
    <s v="显示器 ViewMax 27"/>
    <n v="1299"/>
    <n v="5"/>
    <n v="5"/>
    <n v="1"/>
    <n v="6495"/>
    <n v="6495"/>
    <s v="已完成"/>
    <n v="6495"/>
    <n v="950"/>
    <n v="0.26866820631254812"/>
  </r>
  <r>
    <s v="DD-20260820-0200"/>
    <d v="2026-08-20T00:00:00"/>
    <s v="2026-08-20"/>
    <s v="KH012"/>
    <s v="长沙麓山科技"/>
    <s v="长沙麓山科技"/>
    <s v="KH012"/>
    <s v="办公设备"/>
    <x v="131"/>
    <s v="0200"/>
    <s v="B"/>
    <s v="杨帆"/>
    <s v="华中 "/>
    <x v="2"/>
    <s v="CP001"/>
    <s v="激光打印机 ProLaser 200"/>
    <n v="2499"/>
    <n v="4"/>
    <n v="4"/>
    <n v="1"/>
    <s v="¥9,996.00"/>
    <n v="9996"/>
    <s v="已发货"/>
    <n v="9996"/>
    <n v="1850"/>
    <n v="0.25970388155262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6C418-4C01-4964-AED4-8BE673AFADB6}" name="数据透视表1" cacheId="2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6" firstHeaderRow="1" firstDataRow="1" firstDataCol="1"/>
  <pivotFields count="23">
    <pivotField axis="axisRow" dataField="1" showAll="0" measureFilter="1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34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31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06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25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25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 v="101"/>
    </i>
    <i>
      <x v="125"/>
    </i>
    <i t="grand">
      <x/>
    </i>
  </rowItems>
  <colItems count="1">
    <i/>
  </colItems>
  <dataFields count="1">
    <dataField name="计数项:订单编号" fld="0" subtotal="count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262C8-4067-4A7B-9504-0E81DC998912}" name="数据透视表5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84:B100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7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求和项:金额(修正后)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17AC7-EE0E-44E4-8471-02CB403301AA}" name="数据透视表4" cacheId="5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59:B75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7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求和项:金额(修正后)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0AE5D-2BA4-44C3-9B98-1DF65D326FF8}" name="数据透视表3" cacheId="61" applyNumberFormats="0" applyBorderFormats="0" applyFontFormats="0" applyPatternFormats="0" applyAlignmentFormats="0" applyWidthHeightFormats="1" dataCaption="值" updatedVersion="8" minRefreshableVersion="3" itemPrintTitles="1" createdVersion="8" indent="0" outline="1" outlineData="1" multipleFieldFilters="0">
  <location ref="A3" firstHeaderRow="0" firstDataRow="0" firstDataCol="0"/>
  <pivotFields count="25">
    <pivotField showAll="0"/>
    <pivotField showAll="0">
      <items count="149">
        <item x="24"/>
        <item x="63"/>
        <item x="76"/>
        <item x="90"/>
        <item x="111"/>
        <item x="122"/>
        <item x="114"/>
        <item x="128"/>
        <item x="130"/>
        <item x="117"/>
        <item x="30"/>
        <item x="65"/>
        <item x="69"/>
        <item x="118"/>
        <item x="138"/>
        <item x="140"/>
        <item x="2"/>
        <item x="81"/>
        <item x="83"/>
        <item x="87"/>
        <item x="71"/>
        <item x="72"/>
        <item x="124"/>
        <item x="127"/>
        <item x="13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2"/>
        <item x="23"/>
        <item x="25"/>
        <item x="27"/>
        <item x="28"/>
        <item x="31"/>
        <item x="32"/>
        <item x="33"/>
        <item x="2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6"/>
        <item x="67"/>
        <item x="68"/>
        <item x="70"/>
        <item x="73"/>
        <item x="74"/>
        <item x="75"/>
        <item x="26"/>
        <item x="78"/>
        <item x="79"/>
        <item x="80"/>
        <item x="82"/>
        <item x="84"/>
        <item x="85"/>
        <item x="86"/>
        <item x="88"/>
        <item x="89"/>
        <item x="91"/>
        <item x="92"/>
        <item x="94"/>
        <item x="95"/>
        <item x="77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21"/>
        <item x="115"/>
        <item x="116"/>
        <item x="119"/>
        <item x="120"/>
        <item x="121"/>
        <item x="123"/>
        <item x="125"/>
        <item x="126"/>
        <item x="93"/>
        <item x="129"/>
        <item x="131"/>
        <item x="133"/>
        <item x="134"/>
        <item x="135"/>
        <item x="136"/>
        <item x="137"/>
        <item x="139"/>
        <item x="141"/>
        <item x="142"/>
        <item x="143"/>
        <item x="13"/>
        <item x="144"/>
        <item x="145"/>
        <item x="146"/>
        <item x="14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1"/>
        <item x="22"/>
        <item x="23"/>
        <item x="25"/>
        <item x="26"/>
        <item x="28"/>
        <item x="29"/>
        <item x="30"/>
        <item x="27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24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68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8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t="default"/>
      </items>
    </pivotField>
    <pivotField showAll="0"/>
    <pivotField showAll="0"/>
    <pivotField showAll="0"/>
    <pivotField showAll="0"/>
    <pivotField axis="axisRow" showAll="0">
      <items count="7">
        <item x="3"/>
        <item x="1"/>
        <item x="0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3"/>
    <field x="24"/>
    <field x="8"/>
  </rowFields>
  <rowItems count="233">
    <i>
      <x/>
    </i>
    <i r="1">
      <x v="1"/>
    </i>
    <i r="2">
      <x v="2"/>
    </i>
    <i r="2">
      <x v="3"/>
    </i>
    <i r="2">
      <x v="6"/>
    </i>
    <i r="2">
      <x v="10"/>
    </i>
    <i r="2">
      <x v="11"/>
    </i>
    <i r="1">
      <x v="2"/>
    </i>
    <i r="2">
      <x v="22"/>
    </i>
    <i r="1">
      <x v="3"/>
    </i>
    <i r="2">
      <x v="26"/>
    </i>
    <i r="2">
      <x v="27"/>
    </i>
    <i r="2">
      <x v="29"/>
    </i>
    <i r="2">
      <x v="35"/>
    </i>
    <i r="1">
      <x v="4"/>
    </i>
    <i r="2">
      <x v="40"/>
    </i>
    <i r="2">
      <x v="44"/>
    </i>
    <i r="2">
      <x v="47"/>
    </i>
    <i r="1">
      <x v="5"/>
    </i>
    <i r="2">
      <x v="58"/>
    </i>
    <i r="2">
      <x v="60"/>
    </i>
    <i r="2">
      <x v="61"/>
    </i>
    <i r="2">
      <x v="62"/>
    </i>
    <i r="2">
      <x v="66"/>
    </i>
    <i r="2">
      <x v="71"/>
    </i>
    <i r="2">
      <x v="72"/>
    </i>
    <i r="2">
      <x v="73"/>
    </i>
    <i r="2">
      <x v="74"/>
    </i>
    <i r="2">
      <x v="78"/>
    </i>
    <i r="2">
      <x v="79"/>
    </i>
    <i r="1">
      <x v="6"/>
    </i>
    <i r="2">
      <x v="81"/>
    </i>
    <i r="2">
      <x v="83"/>
    </i>
    <i r="2">
      <x v="90"/>
    </i>
    <i r="2">
      <x v="98"/>
    </i>
    <i r="1">
      <x v="7"/>
    </i>
    <i r="2">
      <x v="101"/>
    </i>
    <i r="2">
      <x v="106"/>
    </i>
    <i r="2">
      <x v="113"/>
    </i>
    <i r="1">
      <x v="8"/>
    </i>
    <i r="2">
      <x v="121"/>
    </i>
    <i r="2">
      <x v="123"/>
    </i>
    <i r="2">
      <x v="125"/>
    </i>
    <i r="2">
      <x v="127"/>
    </i>
    <i>
      <x v="1"/>
    </i>
    <i r="1">
      <x v="1"/>
    </i>
    <i r="2">
      <x v="1"/>
    </i>
    <i r="2">
      <x v="5"/>
    </i>
    <i r="2">
      <x v="7"/>
    </i>
    <i r="2">
      <x v="13"/>
    </i>
    <i r="2">
      <x v="14"/>
    </i>
    <i r="1">
      <x v="2"/>
    </i>
    <i r="2">
      <x v="18"/>
    </i>
    <i r="2">
      <x v="19"/>
    </i>
    <i r="2">
      <x v="20"/>
    </i>
    <i r="2">
      <x v="21"/>
    </i>
    <i r="2">
      <x v="24"/>
    </i>
    <i r="1">
      <x v="3"/>
    </i>
    <i r="2">
      <x v="26"/>
    </i>
    <i r="2">
      <x v="27"/>
    </i>
    <i r="2">
      <x v="28"/>
    </i>
    <i r="2">
      <x v="30"/>
    </i>
    <i r="2">
      <x v="31"/>
    </i>
    <i r="2">
      <x v="34"/>
    </i>
    <i r="2">
      <x v="37"/>
    </i>
    <i r="1">
      <x v="4"/>
    </i>
    <i r="2">
      <x v="39"/>
    </i>
    <i r="2">
      <x v="41"/>
    </i>
    <i r="2">
      <x v="42"/>
    </i>
    <i r="2">
      <x v="44"/>
    </i>
    <i r="2">
      <x v="46"/>
    </i>
    <i r="2">
      <x v="50"/>
    </i>
    <i r="2">
      <x v="51"/>
    </i>
    <i r="2">
      <x v="52"/>
    </i>
    <i r="2">
      <x v="53"/>
    </i>
    <i r="1">
      <x v="5"/>
    </i>
    <i r="2">
      <x v="59"/>
    </i>
    <i r="2">
      <x v="60"/>
    </i>
    <i r="2">
      <x v="63"/>
    </i>
    <i r="2">
      <x v="64"/>
    </i>
    <i r="2">
      <x v="65"/>
    </i>
    <i r="2">
      <x v="67"/>
    </i>
    <i r="2">
      <x v="69"/>
    </i>
    <i r="2">
      <x v="70"/>
    </i>
    <i r="2">
      <x v="71"/>
    </i>
    <i r="2">
      <x v="73"/>
    </i>
    <i r="2">
      <x v="75"/>
    </i>
    <i r="2">
      <x v="77"/>
    </i>
    <i r="1">
      <x v="6"/>
    </i>
    <i r="2">
      <x v="81"/>
    </i>
    <i r="2">
      <x v="84"/>
    </i>
    <i r="2">
      <x v="86"/>
    </i>
    <i r="2">
      <x v="87"/>
    </i>
    <i r="2">
      <x v="89"/>
    </i>
    <i r="2">
      <x v="93"/>
    </i>
    <i r="2">
      <x v="97"/>
    </i>
    <i r="2">
      <x v="98"/>
    </i>
    <i r="1">
      <x v="7"/>
    </i>
    <i r="2">
      <x v="101"/>
    </i>
    <i r="2">
      <x v="102"/>
    </i>
    <i r="2">
      <x v="108"/>
    </i>
    <i r="2">
      <x v="109"/>
    </i>
    <i r="2">
      <x v="110"/>
    </i>
    <i r="2">
      <x v="112"/>
    </i>
    <i r="2">
      <x v="113"/>
    </i>
    <i r="2">
      <x v="114"/>
    </i>
    <i r="2">
      <x v="115"/>
    </i>
    <i r="2">
      <x v="116"/>
    </i>
    <i r="1">
      <x v="8"/>
    </i>
    <i r="2">
      <x v="118"/>
    </i>
    <i r="2">
      <x v="119"/>
    </i>
    <i r="2">
      <x v="120"/>
    </i>
    <i r="2">
      <x v="125"/>
    </i>
    <i r="2">
      <x v="126"/>
    </i>
    <i r="2">
      <x v="129"/>
    </i>
    <i>
      <x v="2"/>
    </i>
    <i r="1">
      <x v="1"/>
    </i>
    <i r="2">
      <x/>
    </i>
    <i r="2">
      <x v="1"/>
    </i>
    <i r="1">
      <x v="3"/>
    </i>
    <i r="2">
      <x v="29"/>
    </i>
    <i r="2">
      <x v="32"/>
    </i>
    <i r="2">
      <x v="33"/>
    </i>
    <i r="1">
      <x v="4"/>
    </i>
    <i r="2">
      <x v="38"/>
    </i>
    <i r="2">
      <x v="43"/>
    </i>
    <i r="2">
      <x v="45"/>
    </i>
    <i r="2">
      <x v="46"/>
    </i>
    <i r="2">
      <x v="48"/>
    </i>
    <i r="2">
      <x v="49"/>
    </i>
    <i r="2">
      <x v="53"/>
    </i>
    <i r="2">
      <x v="55"/>
    </i>
    <i r="1">
      <x v="5"/>
    </i>
    <i r="2">
      <x v="56"/>
    </i>
    <i r="2">
      <x v="57"/>
    </i>
    <i r="2">
      <x v="60"/>
    </i>
    <i r="2">
      <x v="65"/>
    </i>
    <i r="2">
      <x v="73"/>
    </i>
    <i r="2">
      <x v="76"/>
    </i>
    <i r="1">
      <x v="6"/>
    </i>
    <i r="2">
      <x v="82"/>
    </i>
    <i r="2">
      <x v="83"/>
    </i>
    <i r="2">
      <x v="86"/>
    </i>
    <i r="2">
      <x v="91"/>
    </i>
    <i r="2">
      <x v="94"/>
    </i>
    <i r="2">
      <x v="95"/>
    </i>
    <i r="1">
      <x v="7"/>
    </i>
    <i r="2">
      <x v="104"/>
    </i>
    <i r="2">
      <x v="106"/>
    </i>
    <i r="2">
      <x v="107"/>
    </i>
    <i r="2">
      <x v="111"/>
    </i>
    <i r="2">
      <x v="117"/>
    </i>
    <i r="1">
      <x v="8"/>
    </i>
    <i r="2">
      <x v="118"/>
    </i>
    <i r="2">
      <x v="122"/>
    </i>
    <i r="2">
      <x v="124"/>
    </i>
    <i r="2">
      <x v="127"/>
    </i>
    <i>
      <x v="3"/>
    </i>
    <i r="1">
      <x v="1"/>
    </i>
    <i r="2">
      <x v="2"/>
    </i>
    <i r="2">
      <x v="3"/>
    </i>
    <i r="2">
      <x v="4"/>
    </i>
    <i r="2">
      <x v="11"/>
    </i>
    <i r="2">
      <x v="12"/>
    </i>
    <i r="2">
      <x v="15"/>
    </i>
    <i r="1">
      <x v="2"/>
    </i>
    <i r="2">
      <x v="16"/>
    </i>
    <i r="2">
      <x v="23"/>
    </i>
    <i r="1">
      <x v="3"/>
    </i>
    <i r="2">
      <x v="25"/>
    </i>
    <i r="2">
      <x v="35"/>
    </i>
    <i r="1">
      <x v="4"/>
    </i>
    <i r="2">
      <x v="53"/>
    </i>
    <i r="1">
      <x v="5"/>
    </i>
    <i r="2">
      <x v="57"/>
    </i>
    <i r="2">
      <x v="60"/>
    </i>
    <i r="2">
      <x v="61"/>
    </i>
    <i r="2">
      <x v="65"/>
    </i>
    <i r="2">
      <x v="67"/>
    </i>
    <i r="2">
      <x v="77"/>
    </i>
    <i r="1">
      <x v="6"/>
    </i>
    <i r="2">
      <x v="85"/>
    </i>
    <i r="2">
      <x v="88"/>
    </i>
    <i r="2">
      <x v="92"/>
    </i>
    <i r="2">
      <x v="96"/>
    </i>
    <i r="1">
      <x v="7"/>
    </i>
    <i r="2">
      <x v="99"/>
    </i>
    <i r="2">
      <x v="107"/>
    </i>
    <i r="2">
      <x v="110"/>
    </i>
    <i r="2">
      <x v="112"/>
    </i>
    <i r="1">
      <x v="8"/>
    </i>
    <i r="2">
      <x v="119"/>
    </i>
    <i r="2">
      <x v="127"/>
    </i>
    <i r="2">
      <x v="129"/>
    </i>
    <i r="2">
      <x v="131"/>
    </i>
    <i>
      <x v="4"/>
    </i>
    <i r="1">
      <x v="1"/>
    </i>
    <i r="2">
      <x v="8"/>
    </i>
    <i r="2">
      <x v="9"/>
    </i>
    <i r="1">
      <x v="2"/>
    </i>
    <i r="2">
      <x v="17"/>
    </i>
    <i r="2">
      <x v="18"/>
    </i>
    <i r="2">
      <x v="23"/>
    </i>
    <i r="1">
      <x v="3"/>
    </i>
    <i r="2">
      <x v="28"/>
    </i>
    <i r="2">
      <x v="36"/>
    </i>
    <i r="1">
      <x v="4"/>
    </i>
    <i r="2">
      <x v="43"/>
    </i>
    <i r="2">
      <x v="45"/>
    </i>
    <i r="2">
      <x v="46"/>
    </i>
    <i r="2">
      <x v="50"/>
    </i>
    <i r="2">
      <x v="54"/>
    </i>
    <i r="1">
      <x v="5"/>
    </i>
    <i r="2">
      <x v="61"/>
    </i>
    <i r="2">
      <x v="65"/>
    </i>
    <i r="2">
      <x v="68"/>
    </i>
    <i r="1">
      <x v="6"/>
    </i>
    <i r="2">
      <x v="80"/>
    </i>
    <i r="2">
      <x v="86"/>
    </i>
    <i r="1">
      <x v="7"/>
    </i>
    <i r="2">
      <x v="100"/>
    </i>
    <i r="2">
      <x v="103"/>
    </i>
    <i r="2">
      <x v="105"/>
    </i>
    <i r="2">
      <x v="113"/>
    </i>
    <i r="2">
      <x v="116"/>
    </i>
    <i r="1">
      <x v="8"/>
    </i>
    <i r="2">
      <x v="121"/>
    </i>
    <i r="2">
      <x v="128"/>
    </i>
    <i r="2">
      <x v="130"/>
    </i>
    <i>
      <x v="5"/>
    </i>
    <i r="1">
      <x/>
    </i>
    <i r="2">
      <x v="132"/>
    </i>
    <i t="grand">
      <x/>
    </i>
  </rowItems>
  <colItems count="1">
    <i/>
  </colItems>
  <dataFields count="1">
    <dataField name="求和项:金额(修正后)" fld="21" showDataAs="percentOfTotal" baseField="24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DDFD9-8541-47A3-9D3D-B0FE2C1384AD}" name="数据透视表8" cacheId="6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6:EA44" firstHeaderRow="1" firstDataRow="3" firstDataCol="1"/>
  <pivotFields count="25">
    <pivotField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34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31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06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25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25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>
      <items count="22">
        <item x="9"/>
        <item x="3"/>
        <item x="8"/>
        <item x="17"/>
        <item x="0"/>
        <item x="6"/>
        <item x="11"/>
        <item x="10"/>
        <item x="15"/>
        <item x="14"/>
        <item x="19"/>
        <item x="1"/>
        <item x="18"/>
        <item x="16"/>
        <item x="12"/>
        <item x="13"/>
        <item x="5"/>
        <item x="2"/>
        <item x="4"/>
        <item x="7"/>
        <item x="20"/>
        <item t="default"/>
      </items>
    </pivotField>
    <pivotField showAll="0"/>
    <pivotField showAll="0"/>
    <pivotField showAll="0"/>
    <pivotField axis="axisCol"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1"/>
        <item x="22"/>
        <item x="23"/>
        <item x="25"/>
        <item x="26"/>
        <item x="28"/>
        <item x="29"/>
        <item x="30"/>
        <item x="27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24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68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8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t="default"/>
      </items>
    </pivotField>
    <pivotField showAll="0"/>
    <pivotField showAll="0"/>
    <pivotField showAll="0">
      <items count="10">
        <item x="2"/>
        <item x="1"/>
        <item x="6"/>
        <item x="0"/>
        <item x="3"/>
        <item x="5"/>
        <item x="7"/>
        <item x="4"/>
        <item x="8"/>
        <item t="default"/>
      </items>
    </pivotField>
    <pivotField showAll="0"/>
    <pivotField axis="axisRow" showAll="0">
      <items count="7">
        <item x="3"/>
        <item x="1"/>
        <item x="0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 sortType="descending">
      <items count="150">
        <item x="148"/>
        <item x="26"/>
        <item x="76"/>
        <item x="24"/>
        <item x="84"/>
        <item x="147"/>
        <item x="142"/>
        <item x="122"/>
        <item x="32"/>
        <item x="31"/>
        <item x="40"/>
        <item x="45"/>
        <item x="133"/>
        <item x="121"/>
        <item x="87"/>
        <item x="54"/>
        <item x="21"/>
        <item x="11"/>
        <item x="70"/>
        <item x="141"/>
        <item x="66"/>
        <item x="30"/>
        <item x="102"/>
        <item x="60"/>
        <item x="27"/>
        <item x="61"/>
        <item x="111"/>
        <item x="44"/>
        <item x="85"/>
        <item x="116"/>
        <item x="65"/>
        <item x="110"/>
        <item x="68"/>
        <item x="80"/>
        <item x="95"/>
        <item x="135"/>
        <item x="83"/>
        <item x="69"/>
        <item x="37"/>
        <item x="56"/>
        <item x="86"/>
        <item x="81"/>
        <item x="136"/>
        <item x="77"/>
        <item x="98"/>
        <item x="117"/>
        <item x="118"/>
        <item x="126"/>
        <item x="73"/>
        <item x="130"/>
        <item x="128"/>
        <item x="57"/>
        <item x="137"/>
        <item x="43"/>
        <item x="16"/>
        <item x="33"/>
        <item x="113"/>
        <item x="109"/>
        <item x="78"/>
        <item x="134"/>
        <item x="92"/>
        <item x="119"/>
        <item x="28"/>
        <item x="35"/>
        <item x="17"/>
        <item x="132"/>
        <item x="63"/>
        <item x="99"/>
        <item x="74"/>
        <item x="91"/>
        <item x="129"/>
        <item x="25"/>
        <item x="12"/>
        <item x="67"/>
        <item x="138"/>
        <item x="47"/>
        <item x="55"/>
        <item x="18"/>
        <item x="115"/>
        <item x="131"/>
        <item x="22"/>
        <item x="13"/>
        <item x="14"/>
        <item x="107"/>
        <item x="97"/>
        <item x="36"/>
        <item x="4"/>
        <item x="89"/>
        <item x="100"/>
        <item x="143"/>
        <item x="103"/>
        <item x="93"/>
        <item x="123"/>
        <item x="0"/>
        <item x="124"/>
        <item x="34"/>
        <item x="50"/>
        <item x="82"/>
        <item x="108"/>
        <item x="104"/>
        <item x="48"/>
        <item x="58"/>
        <item x="39"/>
        <item x="38"/>
        <item x="114"/>
        <item x="120"/>
        <item x="3"/>
        <item x="19"/>
        <item x="144"/>
        <item x="94"/>
        <item x="52"/>
        <item x="20"/>
        <item x="64"/>
        <item x="145"/>
        <item x="88"/>
        <item x="72"/>
        <item x="49"/>
        <item x="79"/>
        <item x="53"/>
        <item x="125"/>
        <item x="6"/>
        <item x="105"/>
        <item x="7"/>
        <item x="62"/>
        <item x="8"/>
        <item x="112"/>
        <item x="71"/>
        <item x="146"/>
        <item x="59"/>
        <item x="75"/>
        <item x="140"/>
        <item x="101"/>
        <item x="1"/>
        <item x="10"/>
        <item x="5"/>
        <item x="106"/>
        <item x="15"/>
        <item x="9"/>
        <item x="42"/>
        <item x="29"/>
        <item x="127"/>
        <item x="46"/>
        <item x="96"/>
        <item x="2"/>
        <item x="139"/>
        <item x="41"/>
        <item x="90"/>
        <item x="23"/>
        <item x="51"/>
        <item t="default"/>
      </items>
    </pivotField>
    <pivotField showAll="0">
      <items count="6">
        <item x="3"/>
        <item x="1"/>
        <item h="1" x="0"/>
        <item x="2"/>
        <item h="1" x="4"/>
        <item t="default"/>
      </items>
    </pivotField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4"/>
    <field x="8"/>
  </colFields>
  <colItems count="130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default">
      <x v="2"/>
    </i>
    <i>
      <x v="3"/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t="default">
      <x v="3"/>
    </i>
    <i>
      <x v="4"/>
      <x v="38"/>
    </i>
    <i r="1">
      <x v="39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t="default">
      <x v="4"/>
    </i>
    <i>
      <x v="5"/>
      <x v="56"/>
    </i>
    <i r="1">
      <x v="57"/>
    </i>
    <i r="1">
      <x v="58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9"/>
    </i>
    <i t="default">
      <x v="5"/>
    </i>
    <i>
      <x v="6"/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4"/>
    </i>
    <i r="1">
      <x v="95"/>
    </i>
    <i r="1">
      <x v="96"/>
    </i>
    <i r="1">
      <x v="97"/>
    </i>
    <i r="1">
      <x v="98"/>
    </i>
    <i t="default">
      <x v="6"/>
    </i>
    <i>
      <x v="7"/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t="default">
      <x v="7"/>
    </i>
    <i>
      <x v="8"/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t="default">
      <x v="8"/>
    </i>
    <i t="grand">
      <x/>
    </i>
  </colItems>
  <dataFields count="1">
    <dataField name="求和项:金额(修正后)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FA546-898E-49E7-8F28-AAB44900B5FF}" name="数据透视表7" cacheId="6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9:B28" firstHeaderRow="1" firstDataRow="1" firstDataCol="1"/>
  <pivotFields count="25">
    <pivotField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34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31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06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25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25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1"/>
        <item x="22"/>
        <item x="23"/>
        <item x="25"/>
        <item x="26"/>
        <item x="28"/>
        <item x="29"/>
        <item x="30"/>
        <item x="27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24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68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8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t="default"/>
      </items>
    </pivotField>
    <pivotField showAll="0"/>
    <pivotField showAll="0"/>
    <pivotField axis="axisRow" showAll="0">
      <items count="10">
        <item x="2"/>
        <item x="1"/>
        <item x="6"/>
        <item x="0"/>
        <item x="3"/>
        <item x="5"/>
        <item x="7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6">
        <item x="3"/>
        <item x="1"/>
        <item h="1" x="0"/>
        <item x="2"/>
        <item h="1" x="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平均值项:金额(修正后)" fld="21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66D02-1026-4645-8CE3-DB5D4FB6D100}" name="数据透视表6" cacheId="6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9" firstHeaderRow="0" firstDataRow="1" firstDataCol="1"/>
  <pivotFields count="25">
    <pivotField dataField="1"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34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31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06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25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25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1"/>
        <item x="22"/>
        <item x="23"/>
        <item x="25"/>
        <item x="26"/>
        <item x="28"/>
        <item x="29"/>
        <item x="30"/>
        <item x="27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24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68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8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订单编号" fld="0" subtotal="count" baseField="22" baseItem="1"/>
    <dataField name="求和项:金额(修正后)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13432-7479-4DF7-B3D6-82BCB2B916C2}" name="数据透视表24" cacheId="83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12">
  <location ref="A3:C11" firstHeaderRow="0" firstDataRow="1" firstDataCol="1"/>
  <pivotFields count="2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1"/>
        <item x="22"/>
        <item x="23"/>
        <item x="25"/>
        <item x="26"/>
        <item x="28"/>
        <item x="29"/>
        <item x="30"/>
        <item x="27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24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68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8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3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2">
    <i>
      <x/>
    </i>
    <i i="1">
      <x v="1"/>
    </i>
  </colItems>
  <dataFields count="2">
    <dataField name="求和项:金额(修正后)" fld="21" baseField="26" baseItem="2" numFmtId="177"/>
    <dataField name="求和项:金额(修正后)2" fld="21" showDataAs="percentDiff" baseField="26" baseItem="1048828" numFmtId="1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45482-D791-470C-B0AE-5E236D27A8E3}" name="数据透视表9" cacheId="6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16:J23" firstHeaderRow="1" firstDataRow="2" firstDataCol="1"/>
  <pivotFields count="25">
    <pivotField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34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31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06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25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25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showAll="0">
      <items count="22">
        <item x="9"/>
        <item x="3"/>
        <item x="8"/>
        <item x="17"/>
        <item x="0"/>
        <item x="6"/>
        <item x="11"/>
        <item x="10"/>
        <item x="15"/>
        <item x="14"/>
        <item x="19"/>
        <item x="1"/>
        <item x="18"/>
        <item x="16"/>
        <item x="12"/>
        <item x="13"/>
        <item x="5"/>
        <item x="2"/>
        <item x="4"/>
        <item x="7"/>
        <item x="20"/>
        <item t="default"/>
      </items>
    </pivotField>
    <pivotField showAll="0"/>
    <pivotField showAll="0"/>
    <pivotField showAll="0"/>
    <pivotField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1"/>
        <item x="22"/>
        <item x="23"/>
        <item x="25"/>
        <item x="26"/>
        <item x="28"/>
        <item x="29"/>
        <item x="30"/>
        <item x="27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24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68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2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8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t="default"/>
      </items>
    </pivotField>
    <pivotField showAll="0"/>
    <pivotField showAll="0"/>
    <pivotField showAll="0">
      <items count="10">
        <item x="2"/>
        <item x="1"/>
        <item x="6"/>
        <item x="0"/>
        <item x="3"/>
        <item x="5"/>
        <item x="7"/>
        <item x="4"/>
        <item x="8"/>
        <item t="default"/>
      </items>
    </pivotField>
    <pivotField showAll="0"/>
    <pivotField axis="axisRow" showAll="0">
      <items count="7">
        <item x="3"/>
        <item x="1"/>
        <item x="0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 sortType="descending">
      <items count="150">
        <item x="148"/>
        <item x="26"/>
        <item x="76"/>
        <item x="24"/>
        <item x="84"/>
        <item x="147"/>
        <item x="142"/>
        <item x="122"/>
        <item x="32"/>
        <item x="31"/>
        <item x="40"/>
        <item x="45"/>
        <item x="133"/>
        <item x="121"/>
        <item x="87"/>
        <item x="54"/>
        <item x="21"/>
        <item x="11"/>
        <item x="70"/>
        <item x="141"/>
        <item x="66"/>
        <item x="30"/>
        <item x="102"/>
        <item x="60"/>
        <item x="27"/>
        <item x="61"/>
        <item x="111"/>
        <item x="44"/>
        <item x="85"/>
        <item x="116"/>
        <item x="65"/>
        <item x="110"/>
        <item x="68"/>
        <item x="80"/>
        <item x="95"/>
        <item x="135"/>
        <item x="83"/>
        <item x="69"/>
        <item x="37"/>
        <item x="56"/>
        <item x="86"/>
        <item x="81"/>
        <item x="136"/>
        <item x="77"/>
        <item x="98"/>
        <item x="117"/>
        <item x="118"/>
        <item x="126"/>
        <item x="73"/>
        <item x="130"/>
        <item x="128"/>
        <item x="57"/>
        <item x="137"/>
        <item x="43"/>
        <item x="16"/>
        <item x="33"/>
        <item x="113"/>
        <item x="109"/>
        <item x="78"/>
        <item x="134"/>
        <item x="92"/>
        <item x="119"/>
        <item x="28"/>
        <item x="35"/>
        <item x="17"/>
        <item x="132"/>
        <item x="63"/>
        <item x="99"/>
        <item x="74"/>
        <item x="91"/>
        <item x="129"/>
        <item x="25"/>
        <item x="12"/>
        <item x="67"/>
        <item x="138"/>
        <item x="47"/>
        <item x="55"/>
        <item x="18"/>
        <item x="115"/>
        <item x="131"/>
        <item x="22"/>
        <item x="13"/>
        <item x="14"/>
        <item x="107"/>
        <item x="97"/>
        <item x="36"/>
        <item x="4"/>
        <item x="89"/>
        <item x="100"/>
        <item x="143"/>
        <item x="103"/>
        <item x="93"/>
        <item x="123"/>
        <item x="0"/>
        <item x="124"/>
        <item x="34"/>
        <item x="50"/>
        <item x="82"/>
        <item x="108"/>
        <item x="104"/>
        <item x="48"/>
        <item x="58"/>
        <item x="39"/>
        <item x="38"/>
        <item x="114"/>
        <item x="120"/>
        <item x="3"/>
        <item x="19"/>
        <item x="144"/>
        <item x="94"/>
        <item x="52"/>
        <item x="20"/>
        <item x="64"/>
        <item x="145"/>
        <item x="88"/>
        <item x="72"/>
        <item x="49"/>
        <item x="79"/>
        <item x="53"/>
        <item x="125"/>
        <item x="6"/>
        <item x="105"/>
        <item x="7"/>
        <item x="62"/>
        <item x="8"/>
        <item x="112"/>
        <item x="71"/>
        <item x="146"/>
        <item x="59"/>
        <item x="75"/>
        <item x="140"/>
        <item x="101"/>
        <item x="1"/>
        <item x="10"/>
        <item x="5"/>
        <item x="106"/>
        <item x="15"/>
        <item x="9"/>
        <item x="42"/>
        <item x="29"/>
        <item x="127"/>
        <item x="46"/>
        <item x="96"/>
        <item x="2"/>
        <item x="139"/>
        <item x="41"/>
        <item x="90"/>
        <item x="23"/>
        <item x="51"/>
        <item t="default"/>
      </items>
    </pivotField>
    <pivotField showAll="0">
      <items count="6">
        <item x="3"/>
        <item x="1"/>
        <item h="1" x="0"/>
        <item x="2"/>
        <item h="1" x="4"/>
        <item t="default"/>
      </items>
    </pivotField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4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求和项:金额(修正后)" fld="21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233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订单状态" xr10:uid="{4AB4A81F-588A-4D6B-A222-87B652FD0B10}" sourceName="订单状态">
  <pivotTables>
    <pivotTable tabId="11" name="数据透视表7"/>
    <pivotTable tabId="11" name="数据透视表8"/>
    <pivotTable tabId="5" name="数据透视表9"/>
  </pivotTables>
  <data>
    <tabular pivotCacheId="270830914">
      <items count="5">
        <i x="3" s="1"/>
        <i x="1" s="1"/>
        <i x="0"/>
        <i x="2" s="1"/>
        <i x="4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订单状态" xr10:uid="{07D8BC98-997C-4182-AFCA-85673AD166EC}" cache="切片器_订单状态" caption="订单状态" rowHeight="220133"/>
  <slicer name="订单状态 1" xr10:uid="{F0E5A1F4-5660-4AFB-91DE-32C9F0B8F82A}" cache="切片器_订单状态" caption="订单状态" rowHeight="22013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订单状态 2" xr10:uid="{C9B92883-935C-4DAF-BCD8-26531582DC2D}" cache="切片器_订单状态" caption="订单状态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13819-68AD-4460-ADB3-69B052D964AC}" name="表1" displayName="表1" ref="A3:X7" totalsRowShown="0">
  <autoFilter ref="A3:X7" xr:uid="{2E813819-68AD-4460-ADB3-69B052D964AC}"/>
  <tableColumns count="24">
    <tableColumn id="1" xr3:uid="{F387B888-4461-4322-B141-8A0F4462D709}" name="订单编号"/>
    <tableColumn id="2" xr3:uid="{3F50F4E0-F8D4-4C8A-91B2-D951503E545D}" name="下单日期" dataDxfId="5"/>
    <tableColumn id="3" xr3:uid="{C03D93E5-0A5F-4D69-8F4B-0E0922C79F2C}" name="下单日期(修正后)"/>
    <tableColumn id="4" xr3:uid="{F753CE90-76BA-4A77-BCED-1F6A6CA771CF}" name="客户ID"/>
    <tableColumn id="5" xr3:uid="{E6FFC909-31E1-417A-893A-1994E2F8CEBE}" name="客户名称(修正后)"/>
    <tableColumn id="6" xr3:uid="{42CB448E-94ED-4CD4-B029-6220A79CE7F0}" name="客户名称"/>
    <tableColumn id="7" xr3:uid="{19C327FB-2950-456C-A776-034198766701}" name="客户ID(修正后)"/>
    <tableColumn id="8" xr3:uid="{AF9FBFFD-7A49-4722-8568-CAA67E11E4D5}" name="字段8"/>
    <tableColumn id="9" xr3:uid="{4894CF6A-5B31-4487-9D24-9B56177EE50C}" name="日期" dataDxfId="4"/>
    <tableColumn id="10" xr3:uid="{07D504D8-FB6B-4277-9B34-2AC28FA81FC5}" name="流水号"/>
    <tableColumn id="11" xr3:uid="{8EE6AC72-DAA4-4C41-BF78-782D7FEE0CC3}" name="用户登记（修正后）"/>
    <tableColumn id="12" xr3:uid="{716B0E9C-1105-4C6C-AD9E-B4213121043D}" name="销售员"/>
    <tableColumn id="13" xr3:uid="{A729BBA6-7889-4B4B-9AB5-EA4090D6AF02}" name="区域"/>
    <tableColumn id="14" xr3:uid="{7340CAA2-AE1B-4DA1-9E97-83A26604C883}" name="区域(修正后)"/>
    <tableColumn id="15" xr3:uid="{E9E61684-4D2A-41EB-8C02-DBF6B2FC7A4B}" name="产品编码"/>
    <tableColumn id="16" xr3:uid="{EDEA9DA0-6E50-4860-9F55-12B4845FE3CD}" name="产品名称"/>
    <tableColumn id="17" xr3:uid="{866322B1-F728-4016-BAB2-40E46E2072D3}" name="单价(元)"/>
    <tableColumn id="18" xr3:uid="{33F9A191-B87B-4568-8F7F-C318B78EC7E4}" name="数量"/>
    <tableColumn id="19" xr3:uid="{EC2F0E34-630F-48A4-B4AD-EBE353C02F22}" name="修正后"/>
    <tableColumn id="20" xr3:uid="{8A41BD57-C989-429C-8B87-2032530138D2}" name="折扣(修正后)"/>
    <tableColumn id="21" xr3:uid="{5C4429FB-A15B-40AF-A818-B6BC7AD2E4B6}" name="金额(元)"/>
    <tableColumn id="22" xr3:uid="{2B137674-818E-4689-88C0-390E3CBBD913}" name="金额(修正后)"/>
    <tableColumn id="23" xr3:uid="{6CA2346F-66D0-4951-B9E4-53522415C6F4}" name="订单状态"/>
    <tableColumn id="24" xr3:uid="{3EBDED85-CDD0-4734-97E0-0FB48889D59A}" name="应收金额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561D-EAC8-45E7-821D-BD55357101E2}">
  <dimension ref="A3:B6"/>
  <sheetViews>
    <sheetView workbookViewId="0">
      <selection activeCell="A4" sqref="A4"/>
    </sheetView>
  </sheetViews>
  <sheetFormatPr defaultRowHeight="14"/>
  <cols>
    <col min="1" max="1" width="17.90625" bestFit="1" customWidth="1"/>
    <col min="2" max="2" width="17.54296875" bestFit="1" customWidth="1"/>
  </cols>
  <sheetData>
    <row r="3" spans="1:2">
      <c r="A3" s="24" t="s">
        <v>432</v>
      </c>
      <c r="B3" t="s">
        <v>434</v>
      </c>
    </row>
    <row r="4" spans="1:2">
      <c r="A4" s="25" t="s">
        <v>119</v>
      </c>
      <c r="B4" s="26">
        <v>2</v>
      </c>
    </row>
    <row r="5" spans="1:2">
      <c r="A5" s="25" t="s">
        <v>232</v>
      </c>
      <c r="B5" s="26">
        <v>2</v>
      </c>
    </row>
    <row r="6" spans="1:2">
      <c r="A6" s="25" t="s">
        <v>418</v>
      </c>
      <c r="B6" s="26">
        <v>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9E05-01F8-4E4C-9A9E-B5C35CB63A66}">
  <dimension ref="A3:B100"/>
  <sheetViews>
    <sheetView topLeftCell="A27" workbookViewId="0">
      <selection activeCell="A62" sqref="A61:A64 A66:A69 A71:A74"/>
      <pivotSelection pane="bottomRight" showHeader="1" axis="axisRow" dimension="1" activeRow="61" previousRow="61" click="1" r:id="rId2">
        <pivotArea dataOnly="0" labelOnly="1" fieldPosition="0">
          <references count="1">
            <reference field="4" count="0"/>
          </references>
        </pivotArea>
      </pivotSelection>
    </sheetView>
  </sheetViews>
  <sheetFormatPr defaultRowHeight="14"/>
  <cols>
    <col min="1" max="1" width="14.90625" bestFit="1" customWidth="1"/>
    <col min="2" max="2" width="22.1796875" bestFit="1" customWidth="1"/>
  </cols>
  <sheetData>
    <row r="3" spans="1:1">
      <c r="A3" s="31" t="e" vm="1">
        <v>#VALUE!</v>
      </c>
    </row>
    <row r="59" spans="1:2">
      <c r="A59" s="24" t="s">
        <v>432</v>
      </c>
      <c r="B59" t="s">
        <v>468</v>
      </c>
    </row>
    <row r="60" spans="1:2">
      <c r="A60" s="25" t="s">
        <v>370</v>
      </c>
      <c r="B60" s="26">
        <v>979267</v>
      </c>
    </row>
    <row r="61" spans="1:2">
      <c r="A61" s="29" t="s">
        <v>392</v>
      </c>
      <c r="B61" s="26">
        <v>247993</v>
      </c>
    </row>
    <row r="62" spans="1:2">
      <c r="A62" s="29" t="s">
        <v>384</v>
      </c>
      <c r="B62" s="26">
        <v>178827</v>
      </c>
    </row>
    <row r="63" spans="1:2">
      <c r="A63" s="29" t="s">
        <v>388</v>
      </c>
      <c r="B63" s="26">
        <v>353638</v>
      </c>
    </row>
    <row r="64" spans="1:2">
      <c r="A64" s="29" t="s">
        <v>395</v>
      </c>
      <c r="B64" s="26">
        <v>198809</v>
      </c>
    </row>
    <row r="65" spans="1:2">
      <c r="A65" s="25" t="s">
        <v>372</v>
      </c>
      <c r="B65" s="26">
        <v>1090774</v>
      </c>
    </row>
    <row r="66" spans="1:2">
      <c r="A66" s="29" t="s">
        <v>392</v>
      </c>
      <c r="B66" s="26">
        <v>319871</v>
      </c>
    </row>
    <row r="67" spans="1:2">
      <c r="A67" s="29" t="s">
        <v>384</v>
      </c>
      <c r="B67" s="26">
        <v>117840</v>
      </c>
    </row>
    <row r="68" spans="1:2">
      <c r="A68" s="29" t="s">
        <v>388</v>
      </c>
      <c r="B68" s="26">
        <v>492909</v>
      </c>
    </row>
    <row r="69" spans="1:2">
      <c r="A69" s="29" t="s">
        <v>395</v>
      </c>
      <c r="B69" s="26">
        <v>160154</v>
      </c>
    </row>
    <row r="70" spans="1:2">
      <c r="A70" s="25" t="s">
        <v>374</v>
      </c>
      <c r="B70" s="26">
        <v>911286</v>
      </c>
    </row>
    <row r="71" spans="1:2">
      <c r="A71" s="29" t="s">
        <v>392</v>
      </c>
      <c r="B71" s="26">
        <v>323083</v>
      </c>
    </row>
    <row r="72" spans="1:2">
      <c r="A72" s="29" t="s">
        <v>384</v>
      </c>
      <c r="B72" s="26">
        <v>107062</v>
      </c>
    </row>
    <row r="73" spans="1:2">
      <c r="A73" s="29" t="s">
        <v>388</v>
      </c>
      <c r="B73" s="26">
        <v>234716</v>
      </c>
    </row>
    <row r="74" spans="1:2">
      <c r="A74" s="29" t="s">
        <v>395</v>
      </c>
      <c r="B74" s="26">
        <v>246425</v>
      </c>
    </row>
    <row r="75" spans="1:2">
      <c r="A75" s="25" t="s">
        <v>418</v>
      </c>
      <c r="B75" s="26">
        <v>2981327</v>
      </c>
    </row>
    <row r="84" spans="1:2">
      <c r="A84" s="24" t="s">
        <v>432</v>
      </c>
      <c r="B84" t="s">
        <v>468</v>
      </c>
    </row>
    <row r="85" spans="1:2">
      <c r="A85" s="25" t="s">
        <v>370</v>
      </c>
      <c r="B85" s="26">
        <v>979267</v>
      </c>
    </row>
    <row r="86" spans="1:2">
      <c r="A86" s="29" t="s">
        <v>392</v>
      </c>
      <c r="B86" s="26">
        <v>247993</v>
      </c>
    </row>
    <row r="87" spans="1:2">
      <c r="A87" s="29" t="s">
        <v>384</v>
      </c>
      <c r="B87" s="26">
        <v>178827</v>
      </c>
    </row>
    <row r="88" spans="1:2">
      <c r="A88" s="29" t="s">
        <v>388</v>
      </c>
      <c r="B88" s="26">
        <v>353638</v>
      </c>
    </row>
    <row r="89" spans="1:2">
      <c r="A89" s="29" t="s">
        <v>395</v>
      </c>
      <c r="B89" s="26">
        <v>198809</v>
      </c>
    </row>
    <row r="90" spans="1:2">
      <c r="A90" s="25" t="s">
        <v>372</v>
      </c>
      <c r="B90" s="26">
        <v>1090774</v>
      </c>
    </row>
    <row r="91" spans="1:2">
      <c r="A91" s="29" t="s">
        <v>392</v>
      </c>
      <c r="B91" s="26">
        <v>319871</v>
      </c>
    </row>
    <row r="92" spans="1:2">
      <c r="A92" s="29" t="s">
        <v>384</v>
      </c>
      <c r="B92" s="26">
        <v>117840</v>
      </c>
    </row>
    <row r="93" spans="1:2">
      <c r="A93" s="29" t="s">
        <v>388</v>
      </c>
      <c r="B93" s="26">
        <v>492909</v>
      </c>
    </row>
    <row r="94" spans="1:2">
      <c r="A94" s="29" t="s">
        <v>395</v>
      </c>
      <c r="B94" s="26">
        <v>160154</v>
      </c>
    </row>
    <row r="95" spans="1:2">
      <c r="A95" s="25" t="s">
        <v>374</v>
      </c>
      <c r="B95" s="26">
        <v>911286</v>
      </c>
    </row>
    <row r="96" spans="1:2">
      <c r="A96" s="29" t="s">
        <v>392</v>
      </c>
      <c r="B96" s="26">
        <v>323083</v>
      </c>
    </row>
    <row r="97" spans="1:2">
      <c r="A97" s="29" t="s">
        <v>384</v>
      </c>
      <c r="B97" s="26">
        <v>107062</v>
      </c>
    </row>
    <row r="98" spans="1:2">
      <c r="A98" s="29" t="s">
        <v>388</v>
      </c>
      <c r="B98" s="26">
        <v>234716</v>
      </c>
    </row>
    <row r="99" spans="1:2">
      <c r="A99" s="29" t="s">
        <v>395</v>
      </c>
      <c r="B99" s="26">
        <v>246425</v>
      </c>
    </row>
    <row r="100" spans="1:2">
      <c r="A100" s="25" t="s">
        <v>418</v>
      </c>
      <c r="B100" s="26">
        <v>2981327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E18A-CBB4-4F95-B18B-E9F71D47B1C6}">
  <dimension ref="A3:EA44"/>
  <sheetViews>
    <sheetView topLeftCell="A10" workbookViewId="0">
      <selection activeCell="E16" sqref="E16"/>
    </sheetView>
  </sheetViews>
  <sheetFormatPr defaultRowHeight="14"/>
  <cols>
    <col min="1" max="1" width="9.81640625" bestFit="1" customWidth="1"/>
    <col min="2" max="2" width="17.54296875" bestFit="1" customWidth="1"/>
    <col min="3" max="3" width="22.1796875" bestFit="1" customWidth="1"/>
    <col min="4" max="4" width="10" bestFit="1" customWidth="1"/>
    <col min="5" max="15" width="11.1796875" bestFit="1" customWidth="1"/>
    <col min="16" max="16" width="9.7265625" bestFit="1" customWidth="1"/>
    <col min="17" max="19" width="10" bestFit="1" customWidth="1"/>
    <col min="20" max="23" width="11.1796875" bestFit="1" customWidth="1"/>
    <col min="24" max="24" width="9.7265625" bestFit="1" customWidth="1"/>
    <col min="25" max="27" width="10" bestFit="1" customWidth="1"/>
    <col min="28" max="36" width="11.1796875" bestFit="1" customWidth="1"/>
    <col min="37" max="37" width="9.7265625" bestFit="1" customWidth="1"/>
    <col min="38" max="40" width="10" bestFit="1" customWidth="1"/>
    <col min="41" max="53" width="11.1796875" bestFit="1" customWidth="1"/>
    <col min="54" max="54" width="9.7265625" bestFit="1" customWidth="1"/>
    <col min="55" max="60" width="10" bestFit="1" customWidth="1"/>
    <col min="61" max="76" width="11.1796875" bestFit="1" customWidth="1"/>
    <col min="77" max="77" width="9.7265625" bestFit="1" customWidth="1"/>
    <col min="78" max="81" width="10" bestFit="1" customWidth="1"/>
    <col min="82" max="94" width="11.1796875" bestFit="1" customWidth="1"/>
    <col min="95" max="95" width="9.7265625" bestFit="1" customWidth="1"/>
    <col min="96" max="101" width="10" bestFit="1" customWidth="1"/>
    <col min="102" max="114" width="11.1796875" bestFit="1" customWidth="1"/>
    <col min="115" max="115" width="9.7265625" bestFit="1" customWidth="1"/>
    <col min="116" max="120" width="10" bestFit="1" customWidth="1"/>
    <col min="121" max="129" width="11.1796875" bestFit="1" customWidth="1"/>
    <col min="130" max="130" width="9.7265625" bestFit="1" customWidth="1"/>
    <col min="131" max="131" width="8.90625" bestFit="1" customWidth="1"/>
  </cols>
  <sheetData>
    <row r="3" spans="1:3">
      <c r="A3" s="24" t="s">
        <v>432</v>
      </c>
      <c r="B3" t="s">
        <v>434</v>
      </c>
      <c r="C3" t="s">
        <v>468</v>
      </c>
    </row>
    <row r="4" spans="1:3">
      <c r="A4" s="25" t="s">
        <v>89</v>
      </c>
      <c r="B4" s="26">
        <v>24</v>
      </c>
      <c r="C4" s="26">
        <v>346554</v>
      </c>
    </row>
    <row r="5" spans="1:3">
      <c r="A5" s="25" t="s">
        <v>22</v>
      </c>
      <c r="B5" s="26">
        <v>47</v>
      </c>
      <c r="C5" s="26">
        <v>641423</v>
      </c>
    </row>
    <row r="6" spans="1:3">
      <c r="A6" s="25" t="s">
        <v>14</v>
      </c>
      <c r="B6" s="26">
        <v>19</v>
      </c>
      <c r="C6" s="26">
        <v>291512</v>
      </c>
    </row>
    <row r="7" spans="1:3">
      <c r="A7" s="25" t="s">
        <v>50</v>
      </c>
      <c r="B7" s="26">
        <v>112</v>
      </c>
      <c r="C7" s="26">
        <v>1701838</v>
      </c>
    </row>
    <row r="8" spans="1:3">
      <c r="A8" s="25" t="s">
        <v>433</v>
      </c>
      <c r="B8" s="26"/>
      <c r="C8" s="26"/>
    </row>
    <row r="9" spans="1:3">
      <c r="A9" s="25" t="s">
        <v>418</v>
      </c>
      <c r="B9" s="26">
        <v>202</v>
      </c>
      <c r="C9" s="26">
        <v>2981327</v>
      </c>
    </row>
    <row r="19" spans="1:2">
      <c r="A19" s="24" t="s">
        <v>432</v>
      </c>
      <c r="B19" t="s">
        <v>470</v>
      </c>
    </row>
    <row r="20" spans="1:2">
      <c r="A20" s="25" t="s">
        <v>24</v>
      </c>
      <c r="B20" s="26">
        <v>17359.363636363636</v>
      </c>
    </row>
    <row r="21" spans="1:2">
      <c r="A21" s="25" t="s">
        <v>18</v>
      </c>
      <c r="B21" s="26">
        <v>12536.56</v>
      </c>
    </row>
    <row r="22" spans="1:2">
      <c r="A22" s="25" t="s">
        <v>67</v>
      </c>
      <c r="B22" s="26">
        <v>8105.1333333333332</v>
      </c>
    </row>
    <row r="23" spans="1:2">
      <c r="A23" s="25" t="s">
        <v>11</v>
      </c>
      <c r="B23" s="26">
        <v>15897.772727272728</v>
      </c>
    </row>
    <row r="24" spans="1:2">
      <c r="A24" s="25" t="s">
        <v>37</v>
      </c>
      <c r="B24" s="26">
        <v>19083.81818181818</v>
      </c>
    </row>
    <row r="25" spans="1:2">
      <c r="A25" s="25" t="s">
        <v>55</v>
      </c>
      <c r="B25" s="26">
        <v>11349.272727272728</v>
      </c>
    </row>
    <row r="26" spans="1:2">
      <c r="A26" s="25" t="s">
        <v>78</v>
      </c>
      <c r="B26" s="26">
        <v>17490.2</v>
      </c>
    </row>
    <row r="27" spans="1:2">
      <c r="A27" s="25" t="s">
        <v>44</v>
      </c>
      <c r="B27" s="26">
        <v>13804.586206896553</v>
      </c>
    </row>
    <row r="28" spans="1:2">
      <c r="A28" s="25" t="s">
        <v>418</v>
      </c>
      <c r="B28" s="26">
        <v>14698.442622950819</v>
      </c>
    </row>
    <row r="36" spans="1:131">
      <c r="A36" s="24" t="s">
        <v>468</v>
      </c>
      <c r="B36" s="24" t="s">
        <v>471</v>
      </c>
    </row>
    <row r="37" spans="1:131">
      <c r="B37" t="s">
        <v>460</v>
      </c>
      <c r="P37" t="s">
        <v>482</v>
      </c>
      <c r="Q37" t="s">
        <v>461</v>
      </c>
      <c r="X37" t="s">
        <v>483</v>
      </c>
      <c r="Y37" t="s">
        <v>462</v>
      </c>
      <c r="AK37" t="s">
        <v>484</v>
      </c>
      <c r="AL37" t="s">
        <v>463</v>
      </c>
      <c r="BB37" t="s">
        <v>485</v>
      </c>
      <c r="BC37" t="s">
        <v>464</v>
      </c>
      <c r="BY37" t="s">
        <v>486</v>
      </c>
      <c r="BZ37" t="s">
        <v>465</v>
      </c>
      <c r="CQ37" t="s">
        <v>487</v>
      </c>
      <c r="CR37" t="s">
        <v>466</v>
      </c>
      <c r="DK37" t="s">
        <v>488</v>
      </c>
      <c r="DL37" t="s">
        <v>467</v>
      </c>
      <c r="DZ37" t="s">
        <v>489</v>
      </c>
      <c r="EA37" t="s">
        <v>418</v>
      </c>
    </row>
    <row r="38" spans="1:131">
      <c r="A38" s="24" t="s">
        <v>432</v>
      </c>
      <c r="B38" s="33">
        <v>46025</v>
      </c>
      <c r="C38" s="33">
        <v>46029</v>
      </c>
      <c r="D38" s="33">
        <v>46031</v>
      </c>
      <c r="E38" s="33">
        <v>46035</v>
      </c>
      <c r="F38" s="33">
        <v>46039</v>
      </c>
      <c r="G38" s="33">
        <v>46042</v>
      </c>
      <c r="H38" s="33">
        <v>46045</v>
      </c>
      <c r="I38" s="33">
        <v>46046</v>
      </c>
      <c r="J38" s="33">
        <v>46047</v>
      </c>
      <c r="K38" s="33">
        <v>46048</v>
      </c>
      <c r="L38" s="33">
        <v>46049</v>
      </c>
      <c r="M38" s="33">
        <v>46051</v>
      </c>
      <c r="N38" s="33">
        <v>46052</v>
      </c>
      <c r="O38" s="33">
        <v>46053</v>
      </c>
      <c r="Q38" s="33">
        <v>46056</v>
      </c>
      <c r="R38" s="33">
        <v>46059</v>
      </c>
      <c r="S38" s="33">
        <v>46061</v>
      </c>
      <c r="T38" s="33">
        <v>46069</v>
      </c>
      <c r="U38" s="33">
        <v>46074</v>
      </c>
      <c r="V38" s="33">
        <v>46076</v>
      </c>
      <c r="W38" s="33">
        <v>46080</v>
      </c>
      <c r="Y38" s="33">
        <v>46084</v>
      </c>
      <c r="Z38" s="33">
        <v>46087</v>
      </c>
      <c r="AA38" s="33">
        <v>46089</v>
      </c>
      <c r="AB38" s="33">
        <v>46091</v>
      </c>
      <c r="AC38" s="33">
        <v>46096</v>
      </c>
      <c r="AD38" s="33">
        <v>46097</v>
      </c>
      <c r="AE38" s="33">
        <v>46098</v>
      </c>
      <c r="AF38" s="33">
        <v>46102</v>
      </c>
      <c r="AG38" s="33">
        <v>46103</v>
      </c>
      <c r="AH38" s="33">
        <v>46104</v>
      </c>
      <c r="AI38" s="33">
        <v>46110</v>
      </c>
      <c r="AJ38" s="33">
        <v>46112</v>
      </c>
      <c r="AL38" s="33">
        <v>46114</v>
      </c>
      <c r="AM38" s="33">
        <v>46115</v>
      </c>
      <c r="AN38" s="33">
        <v>46117</v>
      </c>
      <c r="AO38" s="33">
        <v>46124</v>
      </c>
      <c r="AP38" s="33">
        <v>46125</v>
      </c>
      <c r="AQ38" s="33">
        <v>46130</v>
      </c>
      <c r="AR38" s="33">
        <v>46131</v>
      </c>
      <c r="AS38" s="33">
        <v>46132</v>
      </c>
      <c r="AT38" s="33">
        <v>46133</v>
      </c>
      <c r="AU38" s="33">
        <v>46134</v>
      </c>
      <c r="AV38" s="33">
        <v>46135</v>
      </c>
      <c r="AW38" s="33">
        <v>46138</v>
      </c>
      <c r="AX38" s="33">
        <v>46139</v>
      </c>
      <c r="AY38" s="33">
        <v>46140</v>
      </c>
      <c r="AZ38" s="33">
        <v>46141</v>
      </c>
      <c r="BA38" s="33">
        <v>46142</v>
      </c>
      <c r="BC38" s="33">
        <v>46143</v>
      </c>
      <c r="BD38" s="33">
        <v>46145</v>
      </c>
      <c r="BE38" s="33">
        <v>46146</v>
      </c>
      <c r="BF38" s="33">
        <v>46148</v>
      </c>
      <c r="BG38" s="33">
        <v>46150</v>
      </c>
      <c r="BH38" s="33">
        <v>46151</v>
      </c>
      <c r="BI38" s="33">
        <v>46152</v>
      </c>
      <c r="BJ38" s="33">
        <v>46153</v>
      </c>
      <c r="BK38" s="33">
        <v>46154</v>
      </c>
      <c r="BL38" s="33">
        <v>46155</v>
      </c>
      <c r="BM38" s="33">
        <v>46156</v>
      </c>
      <c r="BN38" s="33">
        <v>46157</v>
      </c>
      <c r="BO38" s="33">
        <v>46160</v>
      </c>
      <c r="BP38" s="33">
        <v>46162</v>
      </c>
      <c r="BQ38" s="33">
        <v>46163</v>
      </c>
      <c r="BR38" s="33">
        <v>46164</v>
      </c>
      <c r="BS38" s="33">
        <v>46165</v>
      </c>
      <c r="BT38" s="33">
        <v>46166</v>
      </c>
      <c r="BU38" s="33">
        <v>46167</v>
      </c>
      <c r="BV38" s="33">
        <v>46169</v>
      </c>
      <c r="BW38" s="33">
        <v>46170</v>
      </c>
      <c r="BX38" s="33">
        <v>46173</v>
      </c>
      <c r="BZ38" s="33">
        <v>46175</v>
      </c>
      <c r="CA38" s="33">
        <v>46176</v>
      </c>
      <c r="CB38" s="33">
        <v>46180</v>
      </c>
      <c r="CC38" s="33">
        <v>46182</v>
      </c>
      <c r="CD38" s="33">
        <v>46183</v>
      </c>
      <c r="CE38" s="33">
        <v>46186</v>
      </c>
      <c r="CF38" s="33">
        <v>46188</v>
      </c>
      <c r="CG38" s="33">
        <v>46189</v>
      </c>
      <c r="CH38" s="33">
        <v>46192</v>
      </c>
      <c r="CI38" s="33">
        <v>46194</v>
      </c>
      <c r="CJ38" s="33">
        <v>46195</v>
      </c>
      <c r="CK38" s="33">
        <v>46196</v>
      </c>
      <c r="CL38" s="33">
        <v>46199</v>
      </c>
      <c r="CM38" s="33">
        <v>46200</v>
      </c>
      <c r="CN38" s="33">
        <v>46201</v>
      </c>
      <c r="CO38" s="33">
        <v>46202</v>
      </c>
      <c r="CP38" s="33">
        <v>46203</v>
      </c>
      <c r="CR38" s="33">
        <v>46204</v>
      </c>
      <c r="CS38" s="33">
        <v>46205</v>
      </c>
      <c r="CT38" s="33">
        <v>46206</v>
      </c>
      <c r="CU38" s="33">
        <v>46208</v>
      </c>
      <c r="CV38" s="33">
        <v>46209</v>
      </c>
      <c r="CW38" s="33">
        <v>46210</v>
      </c>
      <c r="CX38" s="33">
        <v>46213</v>
      </c>
      <c r="CY38" s="33">
        <v>46215</v>
      </c>
      <c r="CZ38" s="33">
        <v>46219</v>
      </c>
      <c r="DA38" s="33">
        <v>46220</v>
      </c>
      <c r="DB38" s="33">
        <v>46221</v>
      </c>
      <c r="DC38" s="33">
        <v>46223</v>
      </c>
      <c r="DD38" s="33">
        <v>46227</v>
      </c>
      <c r="DE38" s="33">
        <v>46228</v>
      </c>
      <c r="DF38" s="33">
        <v>46229</v>
      </c>
      <c r="DG38" s="33">
        <v>46230</v>
      </c>
      <c r="DH38" s="33">
        <v>46231</v>
      </c>
      <c r="DI38" s="33">
        <v>46232</v>
      </c>
      <c r="DJ38" s="33">
        <v>46234</v>
      </c>
      <c r="DL38" s="33">
        <v>46235</v>
      </c>
      <c r="DM38" s="33">
        <v>46238</v>
      </c>
      <c r="DN38" s="33">
        <v>46239</v>
      </c>
      <c r="DO38" s="33">
        <v>46240</v>
      </c>
      <c r="DP38" s="33">
        <v>46243</v>
      </c>
      <c r="DQ38" s="33">
        <v>46244</v>
      </c>
      <c r="DR38" s="33">
        <v>46245</v>
      </c>
      <c r="DS38" s="33">
        <v>46247</v>
      </c>
      <c r="DT38" s="33">
        <v>46248</v>
      </c>
      <c r="DU38" s="33">
        <v>46249</v>
      </c>
      <c r="DV38" s="33">
        <v>46250</v>
      </c>
      <c r="DW38" s="33">
        <v>46251</v>
      </c>
      <c r="DX38" s="33">
        <v>46252</v>
      </c>
      <c r="DY38" s="33">
        <v>46254</v>
      </c>
    </row>
    <row r="39" spans="1:131">
      <c r="A39" s="25" t="s">
        <v>38</v>
      </c>
      <c r="B39" s="26"/>
      <c r="C39" s="26"/>
      <c r="D39" s="26">
        <v>3825</v>
      </c>
      <c r="E39" s="26"/>
      <c r="F39" s="26"/>
      <c r="G39" s="26">
        <v>1797</v>
      </c>
      <c r="H39" s="26"/>
      <c r="I39" s="26"/>
      <c r="J39" s="26">
        <v>12320</v>
      </c>
      <c r="K39" s="26">
        <v>9996</v>
      </c>
      <c r="L39" s="26"/>
      <c r="M39" s="26"/>
      <c r="N39" s="26"/>
      <c r="O39" s="26"/>
      <c r="P39" s="26">
        <v>27938</v>
      </c>
      <c r="Q39" s="26"/>
      <c r="R39" s="26"/>
      <c r="S39" s="26"/>
      <c r="T39" s="26"/>
      <c r="U39" s="26"/>
      <c r="V39" s="26">
        <v>28495</v>
      </c>
      <c r="W39" s="26"/>
      <c r="X39" s="26">
        <v>28495</v>
      </c>
      <c r="Y39" s="26"/>
      <c r="Z39" s="26">
        <v>15588</v>
      </c>
      <c r="AA39" s="26">
        <v>7188</v>
      </c>
      <c r="AB39" s="26"/>
      <c r="AC39" s="26">
        <v>22163</v>
      </c>
      <c r="AD39" s="26"/>
      <c r="AE39" s="26"/>
      <c r="AF39" s="26"/>
      <c r="AG39" s="26"/>
      <c r="AH39" s="26">
        <v>27261</v>
      </c>
      <c r="AI39" s="26"/>
      <c r="AJ39" s="26"/>
      <c r="AK39" s="26">
        <v>72200</v>
      </c>
      <c r="AL39" s="26"/>
      <c r="AM39" s="26"/>
      <c r="AN39" s="26"/>
      <c r="AO39" s="26"/>
      <c r="AP39" s="26">
        <v>15588</v>
      </c>
      <c r="AQ39" s="26"/>
      <c r="AR39" s="26"/>
      <c r="AS39" s="26">
        <v>6293</v>
      </c>
      <c r="AT39" s="26"/>
      <c r="AU39" s="26"/>
      <c r="AV39" s="26"/>
      <c r="AW39" s="26"/>
      <c r="AX39" s="26"/>
      <c r="AY39" s="26"/>
      <c r="AZ39" s="26"/>
      <c r="BA39" s="26"/>
      <c r="BB39" s="26">
        <v>21881</v>
      </c>
      <c r="BC39" s="26"/>
      <c r="BD39" s="26"/>
      <c r="BE39" s="26">
        <v>2944</v>
      </c>
      <c r="BF39" s="26">
        <v>11691</v>
      </c>
      <c r="BG39" s="26">
        <v>2598</v>
      </c>
      <c r="BH39" s="26">
        <v>22762</v>
      </c>
      <c r="BI39" s="26"/>
      <c r="BJ39" s="26"/>
      <c r="BK39" s="26"/>
      <c r="BL39" s="26">
        <v>10010</v>
      </c>
      <c r="BM39" s="26"/>
      <c r="BN39" s="26"/>
      <c r="BO39" s="26"/>
      <c r="BP39" s="26"/>
      <c r="BQ39" s="26">
        <v>14592</v>
      </c>
      <c r="BR39" s="26">
        <v>17097</v>
      </c>
      <c r="BS39" s="26">
        <v>5196</v>
      </c>
      <c r="BT39" s="26">
        <v>9240</v>
      </c>
      <c r="BU39" s="26"/>
      <c r="BV39" s="26"/>
      <c r="BW39" s="26"/>
      <c r="BX39" s="26">
        <v>6495</v>
      </c>
      <c r="BY39" s="26">
        <v>102625</v>
      </c>
      <c r="BZ39" s="26"/>
      <c r="CA39" s="26">
        <v>68381</v>
      </c>
      <c r="CB39" s="26"/>
      <c r="CC39" s="26">
        <v>9625</v>
      </c>
      <c r="CD39" s="26"/>
      <c r="CE39" s="26"/>
      <c r="CF39" s="26"/>
      <c r="CG39" s="26"/>
      <c r="CH39" s="26"/>
      <c r="CI39" s="26">
        <v>34087</v>
      </c>
      <c r="CJ39" s="26"/>
      <c r="CK39" s="26"/>
      <c r="CL39" s="26"/>
      <c r="CM39" s="26"/>
      <c r="CN39" s="26"/>
      <c r="CO39" s="26"/>
      <c r="CP39" s="26">
        <v>2691</v>
      </c>
      <c r="CQ39" s="26">
        <v>114784</v>
      </c>
      <c r="CR39" s="26"/>
      <c r="CS39" s="26"/>
      <c r="CT39" s="26">
        <v>48142</v>
      </c>
      <c r="CU39" s="26"/>
      <c r="CV39" s="26"/>
      <c r="CW39" s="26"/>
      <c r="CX39" s="26"/>
      <c r="CY39" s="26">
        <v>7497</v>
      </c>
      <c r="CZ39" s="26"/>
      <c r="DA39" s="26"/>
      <c r="DB39" s="26"/>
      <c r="DC39" s="26"/>
      <c r="DD39" s="26"/>
      <c r="DE39" s="26"/>
      <c r="DF39" s="26">
        <v>53515</v>
      </c>
      <c r="DG39" s="26"/>
      <c r="DH39" s="26"/>
      <c r="DI39" s="26"/>
      <c r="DJ39" s="26"/>
      <c r="DK39" s="26">
        <v>109154</v>
      </c>
      <c r="DL39" s="26"/>
      <c r="DM39" s="26"/>
      <c r="DN39" s="26"/>
      <c r="DO39" s="26">
        <v>2093</v>
      </c>
      <c r="DP39" s="26"/>
      <c r="DQ39" s="26">
        <v>22163</v>
      </c>
      <c r="DR39" s="26"/>
      <c r="DS39" s="26">
        <v>8576</v>
      </c>
      <c r="DT39" s="26"/>
      <c r="DU39" s="26">
        <v>7497</v>
      </c>
      <c r="DV39" s="26"/>
      <c r="DW39" s="26"/>
      <c r="DX39" s="26"/>
      <c r="DY39" s="26"/>
      <c r="DZ39" s="26">
        <v>40329</v>
      </c>
      <c r="EA39" s="26">
        <v>517406</v>
      </c>
    </row>
    <row r="40" spans="1:131">
      <c r="A40" s="25" t="s">
        <v>19</v>
      </c>
      <c r="B40" s="26">
        <v>2691</v>
      </c>
      <c r="C40" s="26"/>
      <c r="D40" s="26"/>
      <c r="E40" s="26"/>
      <c r="F40" s="26">
        <v>3495</v>
      </c>
      <c r="G40" s="26"/>
      <c r="H40" s="26"/>
      <c r="I40" s="26"/>
      <c r="J40" s="26"/>
      <c r="K40" s="26"/>
      <c r="L40" s="26"/>
      <c r="M40" s="26">
        <v>13980</v>
      </c>
      <c r="N40" s="26">
        <v>2691</v>
      </c>
      <c r="O40" s="26"/>
      <c r="P40" s="26">
        <v>22857</v>
      </c>
      <c r="Q40" s="26"/>
      <c r="R40" s="26">
        <v>4635</v>
      </c>
      <c r="S40" s="26">
        <v>598</v>
      </c>
      <c r="T40" s="26">
        <v>62689</v>
      </c>
      <c r="U40" s="26">
        <v>13980</v>
      </c>
      <c r="V40" s="26"/>
      <c r="W40" s="26"/>
      <c r="X40" s="26">
        <v>81902</v>
      </c>
      <c r="Y40" s="26"/>
      <c r="Z40" s="26">
        <v>15588</v>
      </c>
      <c r="AA40" s="26">
        <v>15825</v>
      </c>
      <c r="AB40" s="26">
        <v>17097</v>
      </c>
      <c r="AC40" s="26"/>
      <c r="AD40" s="26">
        <v>50265</v>
      </c>
      <c r="AE40" s="26">
        <v>765</v>
      </c>
      <c r="AF40" s="26"/>
      <c r="AG40" s="26">
        <v>17475</v>
      </c>
      <c r="AH40" s="26"/>
      <c r="AI40" s="26"/>
      <c r="AJ40" s="26">
        <v>15588</v>
      </c>
      <c r="AK40" s="26">
        <v>132603</v>
      </c>
      <c r="AL40" s="26"/>
      <c r="AM40" s="26">
        <v>1299</v>
      </c>
      <c r="AN40" s="26">
        <v>10523</v>
      </c>
      <c r="AO40" s="26"/>
      <c r="AP40" s="26">
        <v>38500</v>
      </c>
      <c r="AQ40" s="26"/>
      <c r="AR40" s="26">
        <v>2990</v>
      </c>
      <c r="AS40" s="26"/>
      <c r="AT40" s="26"/>
      <c r="AU40" s="26"/>
      <c r="AV40" s="26">
        <v>13312</v>
      </c>
      <c r="AW40" s="26">
        <v>30289</v>
      </c>
      <c r="AX40" s="26">
        <v>34392</v>
      </c>
      <c r="AY40" s="26">
        <v>9093</v>
      </c>
      <c r="AZ40" s="26"/>
      <c r="BA40" s="26"/>
      <c r="BB40" s="26">
        <v>140398</v>
      </c>
      <c r="BC40" s="26"/>
      <c r="BD40" s="26"/>
      <c r="BE40" s="26"/>
      <c r="BF40" s="26">
        <v>14994</v>
      </c>
      <c r="BG40" s="26"/>
      <c r="BH40" s="26"/>
      <c r="BI40" s="26">
        <v>6990</v>
      </c>
      <c r="BJ40" s="26">
        <v>23067</v>
      </c>
      <c r="BK40" s="26">
        <v>131077</v>
      </c>
      <c r="BL40" s="26"/>
      <c r="BM40" s="26">
        <v>4365</v>
      </c>
      <c r="BN40" s="26"/>
      <c r="BO40" s="26">
        <v>675</v>
      </c>
      <c r="BP40" s="26">
        <v>12800</v>
      </c>
      <c r="BQ40" s="26">
        <v>8388</v>
      </c>
      <c r="BR40" s="26"/>
      <c r="BS40" s="26">
        <v>23960</v>
      </c>
      <c r="BT40" s="26"/>
      <c r="BU40" s="26">
        <v>20271</v>
      </c>
      <c r="BV40" s="26"/>
      <c r="BW40" s="26"/>
      <c r="BX40" s="26"/>
      <c r="BY40" s="26">
        <v>246587</v>
      </c>
      <c r="BZ40" s="26"/>
      <c r="CA40" s="26">
        <v>3599</v>
      </c>
      <c r="CB40" s="26"/>
      <c r="CC40" s="26"/>
      <c r="CD40" s="26">
        <v>6528</v>
      </c>
      <c r="CE40" s="26"/>
      <c r="CF40" s="26">
        <v>25410</v>
      </c>
      <c r="CG40" s="26">
        <v>15378</v>
      </c>
      <c r="CH40" s="26">
        <v>5196</v>
      </c>
      <c r="CI40" s="26"/>
      <c r="CJ40" s="26"/>
      <c r="CK40" s="26"/>
      <c r="CL40" s="26"/>
      <c r="CM40" s="26"/>
      <c r="CN40" s="26"/>
      <c r="CO40" s="26">
        <v>3596</v>
      </c>
      <c r="CP40" s="26">
        <v>39893</v>
      </c>
      <c r="CQ40" s="26">
        <v>99600</v>
      </c>
      <c r="CR40" s="26"/>
      <c r="CS40" s="26"/>
      <c r="CT40" s="26"/>
      <c r="CU40" s="26">
        <v>2990</v>
      </c>
      <c r="CV40" s="26"/>
      <c r="CW40" s="26"/>
      <c r="CX40" s="26"/>
      <c r="CY40" s="26"/>
      <c r="CZ40" s="26"/>
      <c r="DA40" s="26">
        <v>18174</v>
      </c>
      <c r="DB40" s="26">
        <v>12579</v>
      </c>
      <c r="DC40" s="26">
        <v>68388</v>
      </c>
      <c r="DD40" s="26"/>
      <c r="DE40" s="26">
        <v>2990</v>
      </c>
      <c r="DF40" s="26">
        <v>8448</v>
      </c>
      <c r="DG40" s="26">
        <v>14976</v>
      </c>
      <c r="DH40" s="26">
        <v>23766</v>
      </c>
      <c r="DI40" s="26">
        <v>17493</v>
      </c>
      <c r="DJ40" s="26"/>
      <c r="DK40" s="26">
        <v>169804</v>
      </c>
      <c r="DL40" s="26">
        <v>897</v>
      </c>
      <c r="DM40" s="26">
        <v>35035</v>
      </c>
      <c r="DN40" s="26">
        <v>5592</v>
      </c>
      <c r="DO40" s="26"/>
      <c r="DP40" s="26"/>
      <c r="DQ40" s="26"/>
      <c r="DR40" s="26"/>
      <c r="DS40" s="26">
        <v>7497</v>
      </c>
      <c r="DT40" s="26">
        <v>5248</v>
      </c>
      <c r="DU40" s="26"/>
      <c r="DV40" s="26"/>
      <c r="DW40" s="26">
        <v>34392</v>
      </c>
      <c r="DX40" s="26"/>
      <c r="DY40" s="26"/>
      <c r="DZ40" s="26">
        <v>88661</v>
      </c>
      <c r="EA40" s="26">
        <v>982412</v>
      </c>
    </row>
    <row r="41" spans="1:131">
      <c r="A41" s="25" t="s">
        <v>25</v>
      </c>
      <c r="B41" s="26">
        <v>899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>
        <v>899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>
        <v>5699</v>
      </c>
      <c r="AD41" s="26"/>
      <c r="AE41" s="26"/>
      <c r="AF41" s="26">
        <v>1794</v>
      </c>
      <c r="AG41" s="26"/>
      <c r="AH41" s="26"/>
      <c r="AI41" s="26"/>
      <c r="AJ41" s="26"/>
      <c r="AK41" s="26">
        <v>7493</v>
      </c>
      <c r="AL41" s="26">
        <v>1797</v>
      </c>
      <c r="AM41" s="26"/>
      <c r="AN41" s="26"/>
      <c r="AO41" s="26"/>
      <c r="AP41" s="26"/>
      <c r="AQ41" s="26">
        <v>21594</v>
      </c>
      <c r="AR41" s="26">
        <v>28792</v>
      </c>
      <c r="AS41" s="26"/>
      <c r="AT41" s="26">
        <v>28105</v>
      </c>
      <c r="AU41" s="26">
        <v>3588</v>
      </c>
      <c r="AV41" s="26"/>
      <c r="AW41" s="26"/>
      <c r="AX41" s="26"/>
      <c r="AY41" s="26">
        <v>12288</v>
      </c>
      <c r="AZ41" s="26"/>
      <c r="BA41" s="26">
        <v>22368</v>
      </c>
      <c r="BB41" s="26">
        <v>118532</v>
      </c>
      <c r="BC41" s="26">
        <v>39565</v>
      </c>
      <c r="BD41" s="26">
        <v>31559</v>
      </c>
      <c r="BE41" s="26"/>
      <c r="BF41" s="26">
        <v>20405</v>
      </c>
      <c r="BG41" s="26"/>
      <c r="BH41" s="26"/>
      <c r="BI41" s="26"/>
      <c r="BJ41" s="26"/>
      <c r="BK41" s="26">
        <v>26562</v>
      </c>
      <c r="BL41" s="26"/>
      <c r="BM41" s="26"/>
      <c r="BN41" s="26"/>
      <c r="BO41" s="26"/>
      <c r="BP41" s="26"/>
      <c r="BQ41" s="26"/>
      <c r="BR41" s="26"/>
      <c r="BS41" s="26">
        <v>1080</v>
      </c>
      <c r="BT41" s="26"/>
      <c r="BU41" s="26"/>
      <c r="BV41" s="26">
        <v>13281</v>
      </c>
      <c r="BW41" s="26"/>
      <c r="BX41" s="26"/>
      <c r="BY41" s="26">
        <v>132452</v>
      </c>
      <c r="BZ41" s="26"/>
      <c r="CA41" s="26"/>
      <c r="CB41" s="26">
        <v>1299</v>
      </c>
      <c r="CC41" s="26">
        <v>2097</v>
      </c>
      <c r="CD41" s="26"/>
      <c r="CE41" s="26"/>
      <c r="CF41" s="26">
        <v>3465</v>
      </c>
      <c r="CG41" s="26"/>
      <c r="CH41" s="26"/>
      <c r="CI41" s="26"/>
      <c r="CJ41" s="26">
        <v>10797</v>
      </c>
      <c r="CK41" s="26"/>
      <c r="CL41" s="26">
        <v>19168</v>
      </c>
      <c r="CM41" s="26">
        <v>14396</v>
      </c>
      <c r="CN41" s="26"/>
      <c r="CO41" s="26"/>
      <c r="CP41" s="26"/>
      <c r="CQ41" s="26">
        <v>51222</v>
      </c>
      <c r="CR41" s="26"/>
      <c r="CS41" s="26"/>
      <c r="CT41" s="26"/>
      <c r="CU41" s="26"/>
      <c r="CV41" s="26"/>
      <c r="CW41" s="26">
        <v>5196</v>
      </c>
      <c r="CX41" s="26"/>
      <c r="CY41" s="26">
        <v>3840</v>
      </c>
      <c r="CZ41" s="26">
        <v>20360</v>
      </c>
      <c r="DA41" s="26"/>
      <c r="DB41" s="26"/>
      <c r="DC41" s="26"/>
      <c r="DD41" s="26">
        <v>3588</v>
      </c>
      <c r="DE41" s="26"/>
      <c r="DF41" s="26"/>
      <c r="DG41" s="26"/>
      <c r="DH41" s="26"/>
      <c r="DI41" s="26"/>
      <c r="DJ41" s="26">
        <v>11883</v>
      </c>
      <c r="DK41" s="26">
        <v>44867</v>
      </c>
      <c r="DL41" s="26">
        <v>5592</v>
      </c>
      <c r="DM41" s="26"/>
      <c r="DN41" s="26"/>
      <c r="DO41" s="26"/>
      <c r="DP41" s="26">
        <v>14396</v>
      </c>
      <c r="DQ41" s="26"/>
      <c r="DR41" s="26">
        <v>19992</v>
      </c>
      <c r="DS41" s="26"/>
      <c r="DT41" s="26"/>
      <c r="DU41" s="26">
        <v>7699</v>
      </c>
      <c r="DV41" s="26"/>
      <c r="DW41" s="26"/>
      <c r="DX41" s="26"/>
      <c r="DY41" s="26"/>
      <c r="DZ41" s="26">
        <v>47679</v>
      </c>
      <c r="EA41" s="26">
        <v>403144</v>
      </c>
    </row>
    <row r="42" spans="1:131">
      <c r="A42" s="25" t="s">
        <v>45</v>
      </c>
      <c r="B42" s="26"/>
      <c r="C42" s="26">
        <v>5394</v>
      </c>
      <c r="D42" s="26">
        <v>2560</v>
      </c>
      <c r="E42" s="26">
        <v>3596</v>
      </c>
      <c r="F42" s="26"/>
      <c r="G42" s="26"/>
      <c r="H42" s="26"/>
      <c r="I42" s="26"/>
      <c r="J42" s="26"/>
      <c r="K42" s="26">
        <v>3596</v>
      </c>
      <c r="L42" s="26">
        <v>19190</v>
      </c>
      <c r="M42" s="26"/>
      <c r="N42" s="26"/>
      <c r="O42" s="26">
        <v>11398</v>
      </c>
      <c r="P42" s="26">
        <v>45734</v>
      </c>
      <c r="Q42" s="26"/>
      <c r="R42" s="26"/>
      <c r="S42" s="26"/>
      <c r="T42" s="26"/>
      <c r="U42" s="26"/>
      <c r="V42" s="26"/>
      <c r="W42" s="26"/>
      <c r="X42" s="26"/>
      <c r="Y42" s="26">
        <v>46200</v>
      </c>
      <c r="Z42" s="26"/>
      <c r="AA42" s="26"/>
      <c r="AB42" s="26"/>
      <c r="AC42" s="26"/>
      <c r="AD42" s="26"/>
      <c r="AE42" s="26"/>
      <c r="AF42" s="26"/>
      <c r="AG42" s="26"/>
      <c r="AH42" s="26">
        <v>899</v>
      </c>
      <c r="AI42" s="26"/>
      <c r="AJ42" s="26"/>
      <c r="AK42" s="26">
        <v>47099</v>
      </c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>
        <v>25193</v>
      </c>
      <c r="AZ42" s="26"/>
      <c r="BA42" s="26"/>
      <c r="BB42" s="26">
        <v>25193</v>
      </c>
      <c r="BC42" s="26"/>
      <c r="BD42" s="26"/>
      <c r="BE42" s="26"/>
      <c r="BF42" s="26">
        <v>25794</v>
      </c>
      <c r="BG42" s="26">
        <v>24465</v>
      </c>
      <c r="BH42" s="26"/>
      <c r="BI42" s="26"/>
      <c r="BJ42" s="26"/>
      <c r="BK42" s="26">
        <v>21495</v>
      </c>
      <c r="BL42" s="26"/>
      <c r="BM42" s="26">
        <v>1797</v>
      </c>
      <c r="BN42" s="26"/>
      <c r="BO42" s="26"/>
      <c r="BP42" s="26"/>
      <c r="BQ42" s="26"/>
      <c r="BR42" s="26"/>
      <c r="BS42" s="26"/>
      <c r="BT42" s="26"/>
      <c r="BU42" s="26"/>
      <c r="BV42" s="26"/>
      <c r="BW42" s="26">
        <v>8704</v>
      </c>
      <c r="BX42" s="26"/>
      <c r="BY42" s="26">
        <v>82255</v>
      </c>
      <c r="BZ42" s="26"/>
      <c r="CA42" s="26"/>
      <c r="CB42" s="26"/>
      <c r="CC42" s="26"/>
      <c r="CD42" s="26"/>
      <c r="CE42" s="26">
        <v>15104</v>
      </c>
      <c r="CF42" s="26"/>
      <c r="CG42" s="26"/>
      <c r="CH42" s="26"/>
      <c r="CI42" s="26"/>
      <c r="CJ42" s="26"/>
      <c r="CK42" s="26">
        <v>25863</v>
      </c>
      <c r="CL42" s="26"/>
      <c r="CM42" s="26"/>
      <c r="CN42" s="26">
        <v>5504</v>
      </c>
      <c r="CO42" s="26"/>
      <c r="CP42" s="26"/>
      <c r="CQ42" s="26">
        <v>46471</v>
      </c>
      <c r="CR42" s="26">
        <v>2697</v>
      </c>
      <c r="CS42" s="26"/>
      <c r="CT42" s="26"/>
      <c r="CU42" s="26"/>
      <c r="CV42" s="26"/>
      <c r="CW42" s="26"/>
      <c r="CX42" s="26"/>
      <c r="CY42" s="26"/>
      <c r="CZ42" s="26">
        <v>598</v>
      </c>
      <c r="DA42" s="26"/>
      <c r="DB42" s="26"/>
      <c r="DC42" s="26">
        <v>1794</v>
      </c>
      <c r="DD42" s="26"/>
      <c r="DE42" s="26">
        <v>18480</v>
      </c>
      <c r="DF42" s="26"/>
      <c r="DG42" s="26"/>
      <c r="DH42" s="26"/>
      <c r="DI42" s="26"/>
      <c r="DJ42" s="26"/>
      <c r="DK42" s="26">
        <v>23569</v>
      </c>
      <c r="DL42" s="26"/>
      <c r="DM42" s="26">
        <v>2816</v>
      </c>
      <c r="DN42" s="26"/>
      <c r="DO42" s="26"/>
      <c r="DP42" s="26"/>
      <c r="DQ42" s="26"/>
      <c r="DR42" s="26"/>
      <c r="DS42" s="26"/>
      <c r="DT42" s="26"/>
      <c r="DU42" s="26">
        <v>12990</v>
      </c>
      <c r="DV42" s="26"/>
      <c r="DW42" s="26">
        <v>51588</v>
      </c>
      <c r="DX42" s="26"/>
      <c r="DY42" s="26">
        <v>9996</v>
      </c>
      <c r="DZ42" s="26">
        <v>77390</v>
      </c>
      <c r="EA42" s="26">
        <v>347711</v>
      </c>
    </row>
    <row r="43" spans="1:131">
      <c r="A43" s="25" t="s">
        <v>68</v>
      </c>
      <c r="B43" s="26"/>
      <c r="C43" s="26"/>
      <c r="D43" s="26"/>
      <c r="E43" s="26"/>
      <c r="F43" s="26"/>
      <c r="G43" s="26"/>
      <c r="H43" s="26">
        <v>7689</v>
      </c>
      <c r="I43" s="26">
        <v>36960</v>
      </c>
      <c r="J43" s="26"/>
      <c r="K43" s="26"/>
      <c r="L43" s="26"/>
      <c r="M43" s="26"/>
      <c r="N43" s="26"/>
      <c r="O43" s="26"/>
      <c r="P43" s="26">
        <v>44649</v>
      </c>
      <c r="Q43" s="26">
        <v>3596</v>
      </c>
      <c r="R43" s="26">
        <v>10010</v>
      </c>
      <c r="S43" s="26"/>
      <c r="T43" s="26"/>
      <c r="U43" s="26"/>
      <c r="V43" s="26"/>
      <c r="W43" s="26">
        <v>14376</v>
      </c>
      <c r="X43" s="26">
        <v>27982</v>
      </c>
      <c r="Y43" s="26"/>
      <c r="Z43" s="26"/>
      <c r="AA43" s="26"/>
      <c r="AB43" s="26">
        <v>9093</v>
      </c>
      <c r="AC43" s="26"/>
      <c r="AD43" s="26"/>
      <c r="AE43" s="26"/>
      <c r="AF43" s="26"/>
      <c r="AG43" s="26"/>
      <c r="AH43" s="26"/>
      <c r="AI43" s="26">
        <v>42735</v>
      </c>
      <c r="AJ43" s="26"/>
      <c r="AK43" s="26">
        <v>51828</v>
      </c>
      <c r="AL43" s="26"/>
      <c r="AM43" s="26"/>
      <c r="AN43" s="26"/>
      <c r="AO43" s="26">
        <v>4905</v>
      </c>
      <c r="AP43" s="26"/>
      <c r="AQ43" s="26">
        <v>17995</v>
      </c>
      <c r="AR43" s="26">
        <v>6291</v>
      </c>
      <c r="AS43" s="26"/>
      <c r="AT43" s="26"/>
      <c r="AU43" s="26"/>
      <c r="AV43" s="26">
        <v>27261</v>
      </c>
      <c r="AW43" s="26"/>
      <c r="AX43" s="26"/>
      <c r="AY43" s="26"/>
      <c r="AZ43" s="26">
        <v>25794</v>
      </c>
      <c r="BA43" s="26"/>
      <c r="BB43" s="26">
        <v>82246</v>
      </c>
      <c r="BC43" s="26"/>
      <c r="BD43" s="26"/>
      <c r="BE43" s="26"/>
      <c r="BF43" s="26"/>
      <c r="BG43" s="26"/>
      <c r="BH43" s="26"/>
      <c r="BI43" s="26"/>
      <c r="BJ43" s="26"/>
      <c r="BK43" s="26">
        <v>14289</v>
      </c>
      <c r="BL43" s="26"/>
      <c r="BM43" s="26"/>
      <c r="BN43" s="26">
        <v>8832</v>
      </c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>
        <v>23121</v>
      </c>
      <c r="BZ43" s="26">
        <v>24465</v>
      </c>
      <c r="CA43" s="26"/>
      <c r="CB43" s="26"/>
      <c r="CC43" s="26"/>
      <c r="CD43" s="26"/>
      <c r="CE43" s="26"/>
      <c r="CF43" s="26">
        <v>27335</v>
      </c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>
        <v>51800</v>
      </c>
      <c r="CR43" s="26"/>
      <c r="CS43" s="26">
        <v>47289</v>
      </c>
      <c r="CT43" s="26"/>
      <c r="CU43" s="26"/>
      <c r="CV43" s="26">
        <v>3825</v>
      </c>
      <c r="CW43" s="26"/>
      <c r="CX43" s="26">
        <v>7787</v>
      </c>
      <c r="CY43" s="26"/>
      <c r="CZ43" s="26"/>
      <c r="DA43" s="26"/>
      <c r="DB43" s="26"/>
      <c r="DC43" s="26"/>
      <c r="DD43" s="26"/>
      <c r="DE43" s="26"/>
      <c r="DF43" s="26">
        <v>10183</v>
      </c>
      <c r="DG43" s="26"/>
      <c r="DH43" s="26"/>
      <c r="DI43" s="26">
        <v>20790</v>
      </c>
      <c r="DJ43" s="26"/>
      <c r="DK43" s="26">
        <v>89874</v>
      </c>
      <c r="DL43" s="26"/>
      <c r="DM43" s="26"/>
      <c r="DN43" s="26"/>
      <c r="DO43" s="26">
        <v>51291</v>
      </c>
      <c r="DP43" s="26"/>
      <c r="DQ43" s="26"/>
      <c r="DR43" s="26"/>
      <c r="DS43" s="26"/>
      <c r="DT43" s="26"/>
      <c r="DU43" s="26"/>
      <c r="DV43" s="26">
        <v>9856</v>
      </c>
      <c r="DW43" s="26"/>
      <c r="DX43" s="26">
        <v>6495</v>
      </c>
      <c r="DY43" s="26"/>
      <c r="DZ43" s="26">
        <v>67642</v>
      </c>
      <c r="EA43" s="26">
        <v>439142</v>
      </c>
    </row>
    <row r="44" spans="1:131">
      <c r="A44" s="25" t="s">
        <v>418</v>
      </c>
      <c r="B44" s="26">
        <v>3590</v>
      </c>
      <c r="C44" s="26">
        <v>5394</v>
      </c>
      <c r="D44" s="26">
        <v>6385</v>
      </c>
      <c r="E44" s="26">
        <v>3596</v>
      </c>
      <c r="F44" s="26">
        <v>3495</v>
      </c>
      <c r="G44" s="26">
        <v>1797</v>
      </c>
      <c r="H44" s="26">
        <v>7689</v>
      </c>
      <c r="I44" s="26">
        <v>36960</v>
      </c>
      <c r="J44" s="26">
        <v>12320</v>
      </c>
      <c r="K44" s="26">
        <v>13592</v>
      </c>
      <c r="L44" s="26">
        <v>19190</v>
      </c>
      <c r="M44" s="26">
        <v>13980</v>
      </c>
      <c r="N44" s="26">
        <v>2691</v>
      </c>
      <c r="O44" s="26">
        <v>11398</v>
      </c>
      <c r="P44" s="26">
        <v>142077</v>
      </c>
      <c r="Q44" s="26">
        <v>3596</v>
      </c>
      <c r="R44" s="26">
        <v>14645</v>
      </c>
      <c r="S44" s="26">
        <v>598</v>
      </c>
      <c r="T44" s="26">
        <v>62689</v>
      </c>
      <c r="U44" s="26">
        <v>13980</v>
      </c>
      <c r="V44" s="26">
        <v>28495</v>
      </c>
      <c r="W44" s="26">
        <v>14376</v>
      </c>
      <c r="X44" s="26">
        <v>138379</v>
      </c>
      <c r="Y44" s="26">
        <v>46200</v>
      </c>
      <c r="Z44" s="26">
        <v>31176</v>
      </c>
      <c r="AA44" s="26">
        <v>23013</v>
      </c>
      <c r="AB44" s="26">
        <v>26190</v>
      </c>
      <c r="AC44" s="26">
        <v>27862</v>
      </c>
      <c r="AD44" s="26">
        <v>50265</v>
      </c>
      <c r="AE44" s="26">
        <v>765</v>
      </c>
      <c r="AF44" s="26">
        <v>1794</v>
      </c>
      <c r="AG44" s="26">
        <v>17475</v>
      </c>
      <c r="AH44" s="26">
        <v>28160</v>
      </c>
      <c r="AI44" s="26">
        <v>42735</v>
      </c>
      <c r="AJ44" s="26">
        <v>15588</v>
      </c>
      <c r="AK44" s="26">
        <v>311223</v>
      </c>
      <c r="AL44" s="26">
        <v>1797</v>
      </c>
      <c r="AM44" s="26">
        <v>1299</v>
      </c>
      <c r="AN44" s="26">
        <v>10523</v>
      </c>
      <c r="AO44" s="26">
        <v>4905</v>
      </c>
      <c r="AP44" s="26">
        <v>54088</v>
      </c>
      <c r="AQ44" s="26">
        <v>39589</v>
      </c>
      <c r="AR44" s="26">
        <v>38073</v>
      </c>
      <c r="AS44" s="26">
        <v>6293</v>
      </c>
      <c r="AT44" s="26">
        <v>28105</v>
      </c>
      <c r="AU44" s="26">
        <v>3588</v>
      </c>
      <c r="AV44" s="26">
        <v>40573</v>
      </c>
      <c r="AW44" s="26">
        <v>30289</v>
      </c>
      <c r="AX44" s="26">
        <v>34392</v>
      </c>
      <c r="AY44" s="26">
        <v>46574</v>
      </c>
      <c r="AZ44" s="26">
        <v>25794</v>
      </c>
      <c r="BA44" s="26">
        <v>22368</v>
      </c>
      <c r="BB44" s="26">
        <v>388250</v>
      </c>
      <c r="BC44" s="26">
        <v>39565</v>
      </c>
      <c r="BD44" s="26">
        <v>31559</v>
      </c>
      <c r="BE44" s="26">
        <v>2944</v>
      </c>
      <c r="BF44" s="26">
        <v>72884</v>
      </c>
      <c r="BG44" s="26">
        <v>27063</v>
      </c>
      <c r="BH44" s="26">
        <v>22762</v>
      </c>
      <c r="BI44" s="26">
        <v>6990</v>
      </c>
      <c r="BJ44" s="26">
        <v>23067</v>
      </c>
      <c r="BK44" s="26">
        <v>193423</v>
      </c>
      <c r="BL44" s="26">
        <v>10010</v>
      </c>
      <c r="BM44" s="26">
        <v>6162</v>
      </c>
      <c r="BN44" s="26">
        <v>8832</v>
      </c>
      <c r="BO44" s="26">
        <v>675</v>
      </c>
      <c r="BP44" s="26">
        <v>12800</v>
      </c>
      <c r="BQ44" s="26">
        <v>22980</v>
      </c>
      <c r="BR44" s="26">
        <v>17097</v>
      </c>
      <c r="BS44" s="26">
        <v>30236</v>
      </c>
      <c r="BT44" s="26">
        <v>9240</v>
      </c>
      <c r="BU44" s="26">
        <v>20271</v>
      </c>
      <c r="BV44" s="26">
        <v>13281</v>
      </c>
      <c r="BW44" s="26">
        <v>8704</v>
      </c>
      <c r="BX44" s="26">
        <v>6495</v>
      </c>
      <c r="BY44" s="26">
        <v>587040</v>
      </c>
      <c r="BZ44" s="26">
        <v>24465</v>
      </c>
      <c r="CA44" s="26">
        <v>71980</v>
      </c>
      <c r="CB44" s="26">
        <v>1299</v>
      </c>
      <c r="CC44" s="26">
        <v>11722</v>
      </c>
      <c r="CD44" s="26">
        <v>6528</v>
      </c>
      <c r="CE44" s="26">
        <v>15104</v>
      </c>
      <c r="CF44" s="26">
        <v>56210</v>
      </c>
      <c r="CG44" s="26">
        <v>15378</v>
      </c>
      <c r="CH44" s="26">
        <v>5196</v>
      </c>
      <c r="CI44" s="26">
        <v>34087</v>
      </c>
      <c r="CJ44" s="26">
        <v>10797</v>
      </c>
      <c r="CK44" s="26">
        <v>25863</v>
      </c>
      <c r="CL44" s="26">
        <v>19168</v>
      </c>
      <c r="CM44" s="26">
        <v>14396</v>
      </c>
      <c r="CN44" s="26">
        <v>5504</v>
      </c>
      <c r="CO44" s="26">
        <v>3596</v>
      </c>
      <c r="CP44" s="26">
        <v>42584</v>
      </c>
      <c r="CQ44" s="26">
        <v>363877</v>
      </c>
      <c r="CR44" s="26">
        <v>2697</v>
      </c>
      <c r="CS44" s="26">
        <v>47289</v>
      </c>
      <c r="CT44" s="26">
        <v>48142</v>
      </c>
      <c r="CU44" s="26">
        <v>2990</v>
      </c>
      <c r="CV44" s="26">
        <v>3825</v>
      </c>
      <c r="CW44" s="26">
        <v>5196</v>
      </c>
      <c r="CX44" s="26">
        <v>7787</v>
      </c>
      <c r="CY44" s="26">
        <v>11337</v>
      </c>
      <c r="CZ44" s="26">
        <v>20958</v>
      </c>
      <c r="DA44" s="26">
        <v>18174</v>
      </c>
      <c r="DB44" s="26">
        <v>12579</v>
      </c>
      <c r="DC44" s="26">
        <v>70182</v>
      </c>
      <c r="DD44" s="26">
        <v>3588</v>
      </c>
      <c r="DE44" s="26">
        <v>21470</v>
      </c>
      <c r="DF44" s="26">
        <v>72146</v>
      </c>
      <c r="DG44" s="26">
        <v>14976</v>
      </c>
      <c r="DH44" s="26">
        <v>23766</v>
      </c>
      <c r="DI44" s="26">
        <v>38283</v>
      </c>
      <c r="DJ44" s="26">
        <v>11883</v>
      </c>
      <c r="DK44" s="26">
        <v>437268</v>
      </c>
      <c r="DL44" s="26">
        <v>6489</v>
      </c>
      <c r="DM44" s="26">
        <v>37851</v>
      </c>
      <c r="DN44" s="26">
        <v>5592</v>
      </c>
      <c r="DO44" s="26">
        <v>53384</v>
      </c>
      <c r="DP44" s="26">
        <v>14396</v>
      </c>
      <c r="DQ44" s="26">
        <v>22163</v>
      </c>
      <c r="DR44" s="26">
        <v>19992</v>
      </c>
      <c r="DS44" s="26">
        <v>16073</v>
      </c>
      <c r="DT44" s="26">
        <v>5248</v>
      </c>
      <c r="DU44" s="26">
        <v>28186</v>
      </c>
      <c r="DV44" s="26">
        <v>9856</v>
      </c>
      <c r="DW44" s="26">
        <v>85980</v>
      </c>
      <c r="DX44" s="26">
        <v>6495</v>
      </c>
      <c r="DY44" s="26">
        <v>9996</v>
      </c>
      <c r="DZ44" s="26">
        <v>321701</v>
      </c>
      <c r="EA44" s="26">
        <v>2689815</v>
      </c>
    </row>
  </sheetData>
  <phoneticPr fontId="6" type="noConversion"/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BADE-BD93-4356-8C66-F2651B6F9187}">
  <dimension ref="A3:C11"/>
  <sheetViews>
    <sheetView tabSelected="1" workbookViewId="0">
      <selection activeCell="B6" sqref="B6"/>
    </sheetView>
  </sheetViews>
  <sheetFormatPr defaultRowHeight="14"/>
  <cols>
    <col min="1" max="1" width="12" bestFit="1" customWidth="1"/>
    <col min="2" max="2" width="22.1796875" bestFit="1" customWidth="1"/>
    <col min="3" max="3" width="23.36328125" bestFit="1" customWidth="1"/>
    <col min="4" max="5" width="22.1796875" bestFit="1" customWidth="1"/>
  </cols>
  <sheetData>
    <row r="3" spans="1:3">
      <c r="A3" s="24" t="s">
        <v>490</v>
      </c>
      <c r="B3" t="s">
        <v>468</v>
      </c>
      <c r="C3" t="s">
        <v>491</v>
      </c>
    </row>
    <row r="4" spans="1:3">
      <c r="A4" t="s">
        <v>460</v>
      </c>
      <c r="B4" s="35">
        <v>161324</v>
      </c>
      <c r="C4" s="31"/>
    </row>
    <row r="5" spans="1:3">
      <c r="A5" t="s">
        <v>461</v>
      </c>
      <c r="B5" s="35">
        <v>235656</v>
      </c>
      <c r="C5" s="31">
        <v>0.46076219285413206</v>
      </c>
    </row>
    <row r="6" spans="1:3">
      <c r="A6" t="s">
        <v>462</v>
      </c>
      <c r="B6" s="35">
        <v>321219</v>
      </c>
      <c r="C6" s="31">
        <v>0.36308432630614118</v>
      </c>
    </row>
    <row r="7" spans="1:3">
      <c r="A7" t="s">
        <v>463</v>
      </c>
      <c r="B7" s="35">
        <v>407561</v>
      </c>
      <c r="C7" s="31">
        <v>0.26879480977152659</v>
      </c>
    </row>
    <row r="8" spans="1:3">
      <c r="A8" t="s">
        <v>464</v>
      </c>
      <c r="B8" s="35">
        <v>699396</v>
      </c>
      <c r="C8" s="31">
        <v>0.71605232100225491</v>
      </c>
    </row>
    <row r="9" spans="1:3">
      <c r="A9" t="s">
        <v>465</v>
      </c>
      <c r="B9" s="35">
        <v>390909</v>
      </c>
      <c r="C9" s="31">
        <v>-0.44107630012181942</v>
      </c>
    </row>
    <row r="10" spans="1:3">
      <c r="A10" t="s">
        <v>466</v>
      </c>
      <c r="B10" s="35">
        <v>443561</v>
      </c>
      <c r="C10" s="31">
        <v>0.13469119411423119</v>
      </c>
    </row>
    <row r="11" spans="1:3">
      <c r="A11" t="s">
        <v>467</v>
      </c>
      <c r="B11" s="35">
        <v>321701</v>
      </c>
      <c r="C11" s="31">
        <v>-0.27473109673754004</v>
      </c>
    </row>
  </sheetData>
  <phoneticPr fontId="6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4"/>
  <sheetViews>
    <sheetView workbookViewId="0">
      <selection activeCell="E22" sqref="E22"/>
    </sheetView>
  </sheetViews>
  <sheetFormatPr defaultRowHeight="14"/>
  <cols>
    <col min="1" max="1" width="19.453125" bestFit="1" customWidth="1"/>
    <col min="2" max="2" width="15.453125" customWidth="1"/>
    <col min="3" max="3" width="23.26953125" customWidth="1"/>
    <col min="4" max="4" width="9" customWidth="1"/>
    <col min="5" max="5" width="18.7265625" customWidth="1"/>
    <col min="6" max="10" width="20" customWidth="1"/>
    <col min="11" max="11" width="12.90625" customWidth="1"/>
    <col min="12" max="13" width="9" customWidth="1"/>
    <col min="14" max="14" width="15.7265625" bestFit="1" customWidth="1"/>
    <col min="15" max="15" width="10" customWidth="1"/>
    <col min="16" max="16" width="26" customWidth="1"/>
    <col min="17" max="17" width="12" customWidth="1"/>
    <col min="18" max="19" width="8" customWidth="1"/>
    <col min="20" max="20" width="16.6328125" customWidth="1"/>
    <col min="21" max="22" width="14" customWidth="1"/>
    <col min="23" max="23" width="10" customWidth="1"/>
    <col min="26" max="26" width="8.7265625" style="31"/>
  </cols>
  <sheetData>
    <row r="1" spans="1:27" ht="24" customHeight="1">
      <c r="A1" s="1" t="s">
        <v>0</v>
      </c>
      <c r="B1" s="1" t="s">
        <v>1</v>
      </c>
      <c r="C1" s="1" t="s">
        <v>430</v>
      </c>
      <c r="D1" s="1" t="s">
        <v>442</v>
      </c>
      <c r="E1" s="1" t="s">
        <v>429</v>
      </c>
      <c r="F1" s="1" t="s">
        <v>3</v>
      </c>
      <c r="G1" s="1" t="s">
        <v>445</v>
      </c>
      <c r="H1" s="1" t="s">
        <v>469</v>
      </c>
      <c r="I1" s="1" t="s">
        <v>447</v>
      </c>
      <c r="J1" s="1" t="s">
        <v>449</v>
      </c>
      <c r="K1" s="1" t="s">
        <v>436</v>
      </c>
      <c r="L1" s="1" t="s">
        <v>4</v>
      </c>
      <c r="M1" s="1" t="s">
        <v>421</v>
      </c>
      <c r="N1" s="1" t="s">
        <v>431</v>
      </c>
      <c r="O1" s="1" t="s">
        <v>6</v>
      </c>
      <c r="P1" s="1" t="s">
        <v>7</v>
      </c>
      <c r="Q1" s="1" t="s">
        <v>424</v>
      </c>
      <c r="R1" s="1" t="s">
        <v>425</v>
      </c>
      <c r="S1" s="1" t="s">
        <v>438</v>
      </c>
      <c r="T1" s="1" t="s">
        <v>441</v>
      </c>
      <c r="U1" s="1" t="s">
        <v>422</v>
      </c>
      <c r="V1" s="1" t="s">
        <v>423</v>
      </c>
      <c r="W1" s="1" t="s">
        <v>426</v>
      </c>
      <c r="X1" s="28" t="s">
        <v>451</v>
      </c>
      <c r="Y1" s="28" t="s">
        <v>472</v>
      </c>
      <c r="Z1" s="32" t="s">
        <v>473</v>
      </c>
    </row>
    <row r="2" spans="1:27" ht="14.5">
      <c r="A2" s="2" t="s">
        <v>8</v>
      </c>
      <c r="B2" s="3">
        <v>46023</v>
      </c>
      <c r="C2" s="3" t="str">
        <f>TEXT(SUBSTITUTE(B2,".","/"),"yyyy-mm-dd")</f>
        <v>2026-01-01</v>
      </c>
      <c r="D2" s="2" t="s">
        <v>428</v>
      </c>
      <c r="E2" s="2" t="str">
        <f>VLOOKUP(D2,客户信息表!A$3:H$23,2,0)</f>
        <v>广州启航教育</v>
      </c>
      <c r="F2" s="4" t="s">
        <v>10</v>
      </c>
      <c r="G2" s="4" t="str">
        <f>INDEX(客户信息表!$A$4:$H$23,MATCH(F2,客户信息表!$B$4:$B$23,0),1)</f>
        <v>KH003</v>
      </c>
      <c r="H2" s="4" t="str">
        <f>_xlfn.XLOOKUP(O2,产品信息表!$A$4:$A$15,产品信息表!$C$4:$C$15)</f>
        <v>软件服务</v>
      </c>
      <c r="I2" s="30">
        <f>DATE(MID(A2,4,4),MID(A2,8,2),MID(A2,10,2))</f>
        <v>46023</v>
      </c>
      <c r="J2" s="4" t="str">
        <f>RIGHT(A2,4)</f>
        <v>0001</v>
      </c>
      <c r="K2" s="4" t="str">
        <f>VLOOKUP(D2,客户信息表!$A$3:$H$23,5,0)</f>
        <v>A</v>
      </c>
      <c r="L2" s="2" t="s">
        <v>11</v>
      </c>
      <c r="M2" s="2" t="s">
        <v>419</v>
      </c>
      <c r="N2" s="2" t="str">
        <f>SUBSTITUTE(TRIM(M2),"区","")</f>
        <v>华南</v>
      </c>
      <c r="O2" s="2" t="s">
        <v>12</v>
      </c>
      <c r="P2" s="4" t="s">
        <v>13</v>
      </c>
      <c r="Q2" s="5">
        <v>699</v>
      </c>
      <c r="R2" s="2"/>
      <c r="S2" s="2">
        <f>IF(ISBLANK(R2),U2/Q2,VALUE(R2))</f>
        <v>11</v>
      </c>
      <c r="T2" s="2">
        <f>VLOOKUP(S2,折扣阶梯!$A$3:$C$7,2,TRUE)</f>
        <v>0.95</v>
      </c>
      <c r="U2" s="5">
        <v>7689</v>
      </c>
      <c r="V2" s="5">
        <f>IF(Q2*S2=VALUE(SUBSTITUTE(U2,"¥","")),VALUE(SUBSTITUTE(U2,"¥","")),Q2*S2)</f>
        <v>7689</v>
      </c>
      <c r="W2" s="2" t="s">
        <v>14</v>
      </c>
      <c r="X2">
        <f>V2*T2</f>
        <v>7304.5499999999993</v>
      </c>
      <c r="Y2">
        <f>_xlfn.XLOOKUP(O2,产品信息表!$A$4:$A$15,产品信息表!$E$4:$E$15)</f>
        <v>300</v>
      </c>
      <c r="Z2" s="31">
        <f>(X2-Y2*S2)/X2</f>
        <v>0.54822679015134401</v>
      </c>
      <c r="AA2">
        <f>_xlfn.RANK.EQ(V2,V2:V203,0)</f>
        <v>117</v>
      </c>
    </row>
    <row r="3" spans="1:27" ht="14.5">
      <c r="A3" s="6" t="s">
        <v>15</v>
      </c>
      <c r="B3" s="7">
        <v>46025</v>
      </c>
      <c r="C3" s="3" t="str">
        <f t="shared" ref="C3:C66" si="0">TEXT(SUBSTITUTE(B3,".","/"),"yyyy-mm-dd")</f>
        <v>2026-01-03</v>
      </c>
      <c r="D3" s="6" t="s">
        <v>16</v>
      </c>
      <c r="E3" s="2" t="str">
        <f>VLOOKUP(D3,客户信息表!A$3:H$23,2,0)</f>
        <v>上海锦程贸易</v>
      </c>
      <c r="F3" s="8" t="s">
        <v>17</v>
      </c>
      <c r="G3" s="4" t="str">
        <f>INDEX(客户信息表!$A$4:$H$23,MATCH(F3,客户信息表!$B$4:$B$23,0),1)</f>
        <v>KH002</v>
      </c>
      <c r="H3" s="4" t="str">
        <f>_xlfn.XLOOKUP(O3,产品信息表!$A$4:$A$15,产品信息表!$C$4:$C$15)</f>
        <v>电子数码</v>
      </c>
      <c r="I3" s="30">
        <f>DATE(MID(A3,4,4),MID(A3,8,2),MID(A3,10,2))</f>
        <v>46025</v>
      </c>
      <c r="J3" s="4" t="str">
        <f t="shared" ref="J3:J66" si="1">RIGHT(A3,4)</f>
        <v>0002</v>
      </c>
      <c r="K3" s="4" t="str">
        <f>VLOOKUP(D3,客户信息表!$A$3:$H$23,5,0)</f>
        <v>B</v>
      </c>
      <c r="L3" s="6" t="s">
        <v>18</v>
      </c>
      <c r="M3" s="6" t="s">
        <v>19</v>
      </c>
      <c r="N3" s="2" t="str">
        <f t="shared" ref="N3:N66" si="2">SUBSTITUTE(TRIM(M3),"区","")</f>
        <v>华东</v>
      </c>
      <c r="O3" s="6" t="s">
        <v>20</v>
      </c>
      <c r="P3" s="8" t="s">
        <v>21</v>
      </c>
      <c r="Q3" s="9">
        <v>299</v>
      </c>
      <c r="R3" s="6">
        <v>9</v>
      </c>
      <c r="S3" s="2">
        <f t="shared" ref="S3:S66" si="3">IF(ISBLANK(R3),U3/Q3,VALUE(R3))</f>
        <v>9</v>
      </c>
      <c r="T3" s="2">
        <f>VLOOKUP(S3,折扣阶梯!$A$3:$C$7,2,TRUE)</f>
        <v>1</v>
      </c>
      <c r="U3" s="9">
        <v>2691</v>
      </c>
      <c r="V3" s="5">
        <f t="shared" ref="V3:V66" si="4">IF(Q3*S3=VALUE(SUBSTITUTE(U3,"¥","")),VALUE(SUBSTITUTE(U3,"¥","")),Q3*S3)</f>
        <v>2691</v>
      </c>
      <c r="W3" s="6" t="s">
        <v>22</v>
      </c>
      <c r="X3">
        <f t="shared" ref="X3:X66" si="5">V3*T3</f>
        <v>2691</v>
      </c>
      <c r="Y3">
        <f>_xlfn.XLOOKUP(O3,产品信息表!$A$4:$A$15,产品信息表!$E$4:$E$15)</f>
        <v>190</v>
      </c>
      <c r="Z3" s="31">
        <f t="shared" ref="Z3:Z66" si="6">(X3-Y3*S3)/X3</f>
        <v>0.36454849498327757</v>
      </c>
      <c r="AA3">
        <f t="shared" ref="AA3:AA66" si="7">_xlfn.RANK.EQ(V3,V3:V204,0)</f>
        <v>174</v>
      </c>
    </row>
    <row r="4" spans="1:27" ht="14.5">
      <c r="A4" s="2" t="s">
        <v>23</v>
      </c>
      <c r="B4" s="3">
        <v>46025</v>
      </c>
      <c r="C4" s="3" t="str">
        <f t="shared" si="0"/>
        <v>2026-01-03</v>
      </c>
      <c r="D4" s="2" t="s">
        <v>9</v>
      </c>
      <c r="E4" s="2" t="str">
        <f>VLOOKUP(D4,客户信息表!A$3:H$23,2,0)</f>
        <v>广州启航教育</v>
      </c>
      <c r="F4" s="4" t="s">
        <v>10</v>
      </c>
      <c r="G4" s="4" t="str">
        <f>INDEX(客户信息表!$A$4:$H$23,MATCH(F4,客户信息表!$B$4:$B$23,0),1)</f>
        <v>KH003</v>
      </c>
      <c r="H4" s="4" t="str">
        <f>_xlfn.XLOOKUP(O4,产品信息表!$A$4:$A$15,产品信息表!$C$4:$C$15)</f>
        <v>办公设备</v>
      </c>
      <c r="I4" s="30">
        <f>DATE(MID(A4,4,4),MID(A4,8,2),MID(A4,10,2))</f>
        <v>46025</v>
      </c>
      <c r="J4" s="4" t="str">
        <f t="shared" si="1"/>
        <v>0003</v>
      </c>
      <c r="K4" s="4" t="str">
        <f>VLOOKUP(D4,客户信息表!$A$3:$H$23,5,0)</f>
        <v>A</v>
      </c>
      <c r="L4" s="2" t="s">
        <v>24</v>
      </c>
      <c r="M4" s="2" t="s">
        <v>25</v>
      </c>
      <c r="N4" s="2" t="str">
        <f t="shared" si="2"/>
        <v>华南</v>
      </c>
      <c r="O4" s="2" t="s">
        <v>26</v>
      </c>
      <c r="P4" s="4" t="s">
        <v>27</v>
      </c>
      <c r="Q4" s="5">
        <v>899</v>
      </c>
      <c r="R4" s="2" t="s">
        <v>28</v>
      </c>
      <c r="S4" s="2">
        <f t="shared" si="3"/>
        <v>1</v>
      </c>
      <c r="T4" s="2">
        <f>VLOOKUP(S4,折扣阶梯!$A$3:$C$7,2,TRUE)</f>
        <v>1</v>
      </c>
      <c r="U4" s="5">
        <v>899</v>
      </c>
      <c r="V4" s="5">
        <f t="shared" si="4"/>
        <v>899</v>
      </c>
      <c r="W4" s="2" t="s">
        <v>22</v>
      </c>
      <c r="X4">
        <f t="shared" si="5"/>
        <v>899</v>
      </c>
      <c r="Y4">
        <f>_xlfn.XLOOKUP(O4,产品信息表!$A$4:$A$15,产品信息表!$E$4:$E$15)</f>
        <v>620</v>
      </c>
      <c r="Z4" s="31">
        <f t="shared" si="6"/>
        <v>0.31034482758620691</v>
      </c>
      <c r="AA4">
        <f t="shared" si="7"/>
        <v>193</v>
      </c>
    </row>
    <row r="5" spans="1:27" ht="14.5">
      <c r="A5" s="6" t="s">
        <v>29</v>
      </c>
      <c r="B5" s="6" t="s">
        <v>30</v>
      </c>
      <c r="C5" s="3" t="str">
        <f t="shared" si="0"/>
        <v>2026-01-07</v>
      </c>
      <c r="D5" s="6" t="s">
        <v>31</v>
      </c>
      <c r="E5" s="2" t="str">
        <f>VLOOKUP(D5,客户信息表!A$3:H$23,2,0)</f>
        <v>长沙麓山科技</v>
      </c>
      <c r="F5" s="8" t="s">
        <v>32</v>
      </c>
      <c r="G5" s="4" t="str">
        <f>INDEX(客户信息表!$A$4:$H$23,MATCH(F5,客户信息表!$B$4:$B$23,0),1)</f>
        <v>KH012</v>
      </c>
      <c r="H5" s="4" t="str">
        <f>_xlfn.XLOOKUP(O5,产品信息表!$A$4:$A$15,产品信息表!$C$4:$C$15)</f>
        <v>办公设备</v>
      </c>
      <c r="I5" s="30">
        <f>DATE(MID(A5,4,4),MID(A5,8,2),MID(A5,10,2))</f>
        <v>46029</v>
      </c>
      <c r="J5" s="4" t="str">
        <f t="shared" si="1"/>
        <v>0004</v>
      </c>
      <c r="K5" s="4" t="str">
        <f>VLOOKUP(D5,客户信息表!$A$3:$H$23,5,0)</f>
        <v>B</v>
      </c>
      <c r="L5" s="6" t="s">
        <v>11</v>
      </c>
      <c r="M5" s="6" t="s">
        <v>33</v>
      </c>
      <c r="N5" s="2" t="str">
        <f t="shared" si="2"/>
        <v>华中</v>
      </c>
      <c r="O5" s="6" t="s">
        <v>26</v>
      </c>
      <c r="P5" s="8" t="s">
        <v>27</v>
      </c>
      <c r="Q5" s="9">
        <v>899</v>
      </c>
      <c r="R5" s="6">
        <v>6</v>
      </c>
      <c r="S5" s="2">
        <f t="shared" si="3"/>
        <v>6</v>
      </c>
      <c r="T5" s="2">
        <f>VLOOKUP(S5,折扣阶梯!$A$3:$C$7,2,TRUE)</f>
        <v>1</v>
      </c>
      <c r="U5" s="9">
        <v>5394</v>
      </c>
      <c r="V5" s="5">
        <f t="shared" si="4"/>
        <v>5394</v>
      </c>
      <c r="W5" s="6" t="s">
        <v>22</v>
      </c>
      <c r="X5">
        <f t="shared" si="5"/>
        <v>5394</v>
      </c>
      <c r="Y5">
        <f>_xlfn.XLOOKUP(O5,产品信息表!$A$4:$A$15,产品信息表!$E$4:$E$15)</f>
        <v>620</v>
      </c>
      <c r="Z5" s="31">
        <f t="shared" si="6"/>
        <v>0.31034482758620691</v>
      </c>
      <c r="AA5">
        <f t="shared" si="7"/>
        <v>138</v>
      </c>
    </row>
    <row r="6" spans="1:27" ht="14.5">
      <c r="A6" s="2" t="s">
        <v>34</v>
      </c>
      <c r="B6" s="3">
        <v>46029</v>
      </c>
      <c r="C6" s="3" t="str">
        <f t="shared" si="0"/>
        <v>2026-01-07</v>
      </c>
      <c r="D6" s="2" t="s">
        <v>35</v>
      </c>
      <c r="E6" s="2" t="str">
        <f>VLOOKUP(D6,客户信息表!A$3:H$23,2,0)</f>
        <v>北京中关新材</v>
      </c>
      <c r="F6" s="4" t="s">
        <v>36</v>
      </c>
      <c r="G6" s="4" t="str">
        <f>INDEX(客户信息表!$A$4:$H$23,MATCH(F6,客户信息表!$B$4:$B$23,0),1)</f>
        <v>KH019</v>
      </c>
      <c r="H6" s="4" t="str">
        <f>_xlfn.XLOOKUP(O6,产品信息表!$A$4:$A$15,产品信息表!$C$4:$C$15)</f>
        <v>办公耗材</v>
      </c>
      <c r="I6" s="30">
        <f>DATE(MID(A6,4,4),MID(A6,8,2),MID(A6,10,2))</f>
        <v>46029</v>
      </c>
      <c r="J6" s="4" t="str">
        <f t="shared" si="1"/>
        <v>0005</v>
      </c>
      <c r="K6" s="4" t="str">
        <f>VLOOKUP(D6,客户信息表!$A$3:$H$23,5,0)</f>
        <v>B</v>
      </c>
      <c r="L6" s="2" t="s">
        <v>37</v>
      </c>
      <c r="M6" s="2" t="s">
        <v>38</v>
      </c>
      <c r="N6" s="2" t="str">
        <f t="shared" si="2"/>
        <v>华北</v>
      </c>
      <c r="O6" s="2" t="s">
        <v>39</v>
      </c>
      <c r="P6" s="4" t="s">
        <v>40</v>
      </c>
      <c r="Q6" s="5">
        <v>128</v>
      </c>
      <c r="R6" s="2">
        <v>70</v>
      </c>
      <c r="S6" s="2">
        <f t="shared" si="3"/>
        <v>70</v>
      </c>
      <c r="T6" s="2">
        <f>VLOOKUP(S6,折扣阶梯!$A$3:$C$7,2,TRUE)</f>
        <v>0.9</v>
      </c>
      <c r="U6" s="5">
        <v>8960</v>
      </c>
      <c r="V6" s="5">
        <f t="shared" si="4"/>
        <v>8960</v>
      </c>
      <c r="W6" s="2" t="s">
        <v>14</v>
      </c>
      <c r="X6">
        <f t="shared" si="5"/>
        <v>8064</v>
      </c>
      <c r="Y6">
        <f>_xlfn.XLOOKUP(O6,产品信息表!$A$4:$A$15,产品信息表!$E$4:$E$15)</f>
        <v>95</v>
      </c>
      <c r="Z6" s="31">
        <f t="shared" si="6"/>
        <v>0.17534722222222221</v>
      </c>
      <c r="AA6">
        <f t="shared" si="7"/>
        <v>110</v>
      </c>
    </row>
    <row r="7" spans="1:27" ht="14.5">
      <c r="A7" s="6" t="s">
        <v>41</v>
      </c>
      <c r="B7" s="7">
        <v>46031</v>
      </c>
      <c r="C7" s="3" t="str">
        <f t="shared" si="0"/>
        <v>2026-01-09</v>
      </c>
      <c r="D7" s="6" t="s">
        <v>42</v>
      </c>
      <c r="E7" s="2" t="str">
        <f>VLOOKUP(D7,客户信息表!A$3:H$23,2,0)</f>
        <v>郑州中原物流</v>
      </c>
      <c r="F7" s="8" t="s">
        <v>43</v>
      </c>
      <c r="G7" s="4" t="str">
        <f>INDEX(客户信息表!$A$4:$H$23,MATCH(F7,客户信息表!$B$4:$B$23,0),1)</f>
        <v>KH017</v>
      </c>
      <c r="H7" s="4" t="str">
        <f>_xlfn.XLOOKUP(O7,产品信息表!$A$4:$A$15,产品信息表!$C$4:$C$15)</f>
        <v>办公耗材</v>
      </c>
      <c r="I7" s="30">
        <f>DATE(MID(A7,4,4),MID(A7,8,2),MID(A7,10,2))</f>
        <v>46031</v>
      </c>
      <c r="J7" s="4" t="str">
        <f t="shared" si="1"/>
        <v>0006</v>
      </c>
      <c r="K7" s="4" t="str">
        <f>VLOOKUP(D7,客户信息表!$A$3:$H$23,5,0)</f>
        <v>B</v>
      </c>
      <c r="L7" s="6" t="s">
        <v>44</v>
      </c>
      <c r="M7" s="6" t="s">
        <v>45</v>
      </c>
      <c r="N7" s="2" t="str">
        <f t="shared" si="2"/>
        <v>华中</v>
      </c>
      <c r="O7" s="6" t="s">
        <v>39</v>
      </c>
      <c r="P7" s="8" t="s">
        <v>40</v>
      </c>
      <c r="Q7" s="9">
        <v>128</v>
      </c>
      <c r="R7" s="6" t="s">
        <v>46</v>
      </c>
      <c r="S7" s="2">
        <f t="shared" si="3"/>
        <v>20</v>
      </c>
      <c r="T7" s="2">
        <f>VLOOKUP(S7,折扣阶梯!$A$3:$C$7,2,TRUE)</f>
        <v>0.95</v>
      </c>
      <c r="U7" s="9">
        <v>2560</v>
      </c>
      <c r="V7" s="5">
        <f t="shared" si="4"/>
        <v>2560</v>
      </c>
      <c r="W7" s="6" t="s">
        <v>22</v>
      </c>
      <c r="X7">
        <f t="shared" si="5"/>
        <v>2432</v>
      </c>
      <c r="Y7">
        <f>_xlfn.XLOOKUP(O7,产品信息表!$A$4:$A$15,产品信息表!$E$4:$E$15)</f>
        <v>95</v>
      </c>
      <c r="Z7" s="31">
        <f t="shared" si="6"/>
        <v>0.21875</v>
      </c>
      <c r="AA7">
        <f t="shared" si="7"/>
        <v>176</v>
      </c>
    </row>
    <row r="8" spans="1:27" ht="14.5">
      <c r="A8" s="2" t="s">
        <v>47</v>
      </c>
      <c r="B8" s="3">
        <v>46031</v>
      </c>
      <c r="C8" s="3" t="str">
        <f t="shared" si="0"/>
        <v>2026-01-09</v>
      </c>
      <c r="D8" s="2" t="s">
        <v>35</v>
      </c>
      <c r="E8" s="2" t="str">
        <f>VLOOKUP(D8,客户信息表!A$3:H$23,2,0)</f>
        <v>北京中关新材</v>
      </c>
      <c r="F8" s="4" t="s">
        <v>36</v>
      </c>
      <c r="G8" s="4" t="str">
        <f>INDEX(客户信息表!$A$4:$H$23,MATCH(F8,客户信息表!$B$4:$B$23,0),1)</f>
        <v>KH019</v>
      </c>
      <c r="H8" s="4" t="str">
        <f>_xlfn.XLOOKUP(O8,产品信息表!$A$4:$A$15,产品信息表!$C$4:$C$15)</f>
        <v>办公耗材</v>
      </c>
      <c r="I8" s="30">
        <f>DATE(MID(A8,4,4),MID(A8,8,2),MID(A8,10,2))</f>
        <v>46031</v>
      </c>
      <c r="J8" s="4" t="str">
        <f t="shared" si="1"/>
        <v>0007</v>
      </c>
      <c r="K8" s="4" t="str">
        <f>VLOOKUP(D8,客户信息表!$A$3:$H$23,5,0)</f>
        <v>B</v>
      </c>
      <c r="L8" s="2" t="s">
        <v>24</v>
      </c>
      <c r="M8" s="2" t="s">
        <v>38</v>
      </c>
      <c r="N8" s="2" t="str">
        <f t="shared" si="2"/>
        <v>华北</v>
      </c>
      <c r="O8" s="2" t="s">
        <v>48</v>
      </c>
      <c r="P8" s="4" t="s">
        <v>49</v>
      </c>
      <c r="Q8" s="5">
        <v>45</v>
      </c>
      <c r="R8" s="2">
        <v>85</v>
      </c>
      <c r="S8" s="2">
        <f t="shared" si="3"/>
        <v>85</v>
      </c>
      <c r="T8" s="2">
        <f>VLOOKUP(S8,折扣阶梯!$A$3:$C$7,2,TRUE)</f>
        <v>0.9</v>
      </c>
      <c r="U8" s="5">
        <v>3825</v>
      </c>
      <c r="V8" s="5">
        <f t="shared" si="4"/>
        <v>3825</v>
      </c>
      <c r="W8" s="2" t="s">
        <v>50</v>
      </c>
      <c r="X8">
        <f t="shared" si="5"/>
        <v>3442.5</v>
      </c>
      <c r="Y8">
        <f>_xlfn.XLOOKUP(O8,产品信息表!$A$4:$A$15,产品信息表!$E$4:$E$15)</f>
        <v>28</v>
      </c>
      <c r="Z8" s="31">
        <f t="shared" si="6"/>
        <v>0.30864197530864196</v>
      </c>
      <c r="AA8">
        <f t="shared" si="7"/>
        <v>152</v>
      </c>
    </row>
    <row r="9" spans="1:27" ht="14.5">
      <c r="A9" s="6" t="s">
        <v>51</v>
      </c>
      <c r="B9" s="7">
        <v>46035</v>
      </c>
      <c r="C9" s="3" t="str">
        <f t="shared" si="0"/>
        <v>2026-01-13</v>
      </c>
      <c r="D9" s="6" t="s">
        <v>52</v>
      </c>
      <c r="E9" s="2" t="str">
        <f>VLOOKUP(D9,客户信息表!A$3:H$23,2,0)</f>
        <v>武汉长江实业</v>
      </c>
      <c r="F9" s="8" t="s">
        <v>53</v>
      </c>
      <c r="G9" s="4" t="str">
        <f>INDEX(客户信息表!$A$4:$H$23,MATCH(F9,客户信息表!$B$4:$B$23,0),1)</f>
        <v>KH007</v>
      </c>
      <c r="H9" s="4" t="str">
        <f>_xlfn.XLOOKUP(O9,产品信息表!$A$4:$A$15,产品信息表!$C$4:$C$15)</f>
        <v>办公设备</v>
      </c>
      <c r="I9" s="30">
        <f>DATE(MID(A9,4,4),MID(A9,8,2),MID(A9,10,2))</f>
        <v>46035</v>
      </c>
      <c r="J9" s="4" t="str">
        <f t="shared" si="1"/>
        <v>0008</v>
      </c>
      <c r="K9" s="4" t="str">
        <f>VLOOKUP(D9,客户信息表!$A$3:$H$23,5,0)</f>
        <v>B</v>
      </c>
      <c r="L9" s="6" t="s">
        <v>44</v>
      </c>
      <c r="M9" s="6" t="s">
        <v>45</v>
      </c>
      <c r="N9" s="2" t="str">
        <f t="shared" si="2"/>
        <v>华中</v>
      </c>
      <c r="O9" s="6" t="s">
        <v>26</v>
      </c>
      <c r="P9" s="8" t="s">
        <v>27</v>
      </c>
      <c r="Q9" s="9">
        <v>899</v>
      </c>
      <c r="R9" s="6">
        <v>4</v>
      </c>
      <c r="S9" s="2">
        <f t="shared" si="3"/>
        <v>4</v>
      </c>
      <c r="T9" s="2">
        <f>VLOOKUP(S9,折扣阶梯!$A$3:$C$7,2,TRUE)</f>
        <v>1</v>
      </c>
      <c r="U9" s="9">
        <v>3596</v>
      </c>
      <c r="V9" s="5">
        <f t="shared" si="4"/>
        <v>3596</v>
      </c>
      <c r="W9" s="6" t="s">
        <v>50</v>
      </c>
      <c r="X9">
        <f t="shared" si="5"/>
        <v>3596</v>
      </c>
      <c r="Y9">
        <f>_xlfn.XLOOKUP(O9,产品信息表!$A$4:$A$15,产品信息表!$E$4:$E$15)</f>
        <v>620</v>
      </c>
      <c r="Z9" s="31">
        <f t="shared" si="6"/>
        <v>0.31034482758620691</v>
      </c>
      <c r="AA9">
        <f t="shared" si="7"/>
        <v>154</v>
      </c>
    </row>
    <row r="10" spans="1:27" ht="14.5">
      <c r="A10" s="2" t="s">
        <v>54</v>
      </c>
      <c r="B10" s="3">
        <v>46039</v>
      </c>
      <c r="C10" s="3" t="str">
        <f t="shared" si="0"/>
        <v>2026-01-17</v>
      </c>
      <c r="D10" s="2" t="s">
        <v>16</v>
      </c>
      <c r="E10" s="2" t="str">
        <f>VLOOKUP(D10,客户信息表!A$3:H$23,2,0)</f>
        <v>上海锦程贸易</v>
      </c>
      <c r="F10" s="4" t="s">
        <v>17</v>
      </c>
      <c r="G10" s="4" t="str">
        <f>INDEX(客户信息表!$A$4:$H$23,MATCH(F10,客户信息表!$B$4:$B$23,0),1)</f>
        <v>KH002</v>
      </c>
      <c r="H10" s="4" t="str">
        <f>_xlfn.XLOOKUP(O10,产品信息表!$A$4:$A$15,产品信息表!$C$4:$C$15)</f>
        <v>软件服务</v>
      </c>
      <c r="I10" s="30">
        <f>DATE(MID(A10,4,4),MID(A10,8,2),MID(A10,10,2))</f>
        <v>46039</v>
      </c>
      <c r="J10" s="4" t="str">
        <f t="shared" si="1"/>
        <v>0009</v>
      </c>
      <c r="K10" s="4" t="str">
        <f>VLOOKUP(D10,客户信息表!$A$3:$H$23,5,0)</f>
        <v>B</v>
      </c>
      <c r="L10" s="2" t="s">
        <v>55</v>
      </c>
      <c r="M10" s="2" t="s">
        <v>19</v>
      </c>
      <c r="N10" s="2" t="str">
        <f t="shared" si="2"/>
        <v>华东</v>
      </c>
      <c r="O10" s="2" t="s">
        <v>12</v>
      </c>
      <c r="P10" s="4" t="s">
        <v>13</v>
      </c>
      <c r="Q10" s="5">
        <v>699</v>
      </c>
      <c r="R10" s="2">
        <v>5</v>
      </c>
      <c r="S10" s="2">
        <f t="shared" si="3"/>
        <v>5</v>
      </c>
      <c r="T10" s="2">
        <f>VLOOKUP(S10,折扣阶梯!$A$3:$C$7,2,TRUE)</f>
        <v>1</v>
      </c>
      <c r="U10" s="5">
        <v>3495</v>
      </c>
      <c r="V10" s="5">
        <f t="shared" si="4"/>
        <v>3495</v>
      </c>
      <c r="W10" s="2" t="s">
        <v>22</v>
      </c>
      <c r="X10">
        <f t="shared" si="5"/>
        <v>3495</v>
      </c>
      <c r="Y10">
        <f>_xlfn.XLOOKUP(O10,产品信息表!$A$4:$A$15,产品信息表!$E$4:$E$15)</f>
        <v>300</v>
      </c>
      <c r="Z10" s="31">
        <f t="shared" si="6"/>
        <v>0.57081545064377681</v>
      </c>
      <c r="AA10">
        <f t="shared" si="7"/>
        <v>159</v>
      </c>
    </row>
    <row r="11" spans="1:27" ht="14.5">
      <c r="A11" s="6" t="s">
        <v>56</v>
      </c>
      <c r="B11" s="7">
        <v>46042</v>
      </c>
      <c r="C11" s="3" t="str">
        <f t="shared" si="0"/>
        <v>2026-01-20</v>
      </c>
      <c r="D11" s="6" t="s">
        <v>35</v>
      </c>
      <c r="E11" s="2" t="str">
        <f>VLOOKUP(D11,客户信息表!A$3:H$23,2,0)</f>
        <v>北京中关新材</v>
      </c>
      <c r="F11" s="8" t="s">
        <v>36</v>
      </c>
      <c r="G11" s="4" t="str">
        <f>INDEX(客户信息表!$A$4:$H$23,MATCH(F11,客户信息表!$B$4:$B$23,0),1)</f>
        <v>KH019</v>
      </c>
      <c r="H11" s="4" t="str">
        <f>_xlfn.XLOOKUP(O11,产品信息表!$A$4:$A$15,产品信息表!$C$4:$C$15)</f>
        <v>软件服务</v>
      </c>
      <c r="I11" s="30">
        <f>DATE(MID(A11,4,4),MID(A11,8,2),MID(A11,10,2))</f>
        <v>46042</v>
      </c>
      <c r="J11" s="4" t="str">
        <f t="shared" si="1"/>
        <v>0010</v>
      </c>
      <c r="K11" s="4" t="str">
        <f>VLOOKUP(D11,客户信息表!$A$3:$H$23,5,0)</f>
        <v>B</v>
      </c>
      <c r="L11" s="6" t="s">
        <v>11</v>
      </c>
      <c r="M11" s="6" t="s">
        <v>38</v>
      </c>
      <c r="N11" s="2" t="str">
        <f t="shared" si="2"/>
        <v>华北</v>
      </c>
      <c r="O11" s="6" t="s">
        <v>57</v>
      </c>
      <c r="P11" s="8" t="s">
        <v>58</v>
      </c>
      <c r="Q11" s="9">
        <v>599</v>
      </c>
      <c r="R11" s="6">
        <v>3</v>
      </c>
      <c r="S11" s="2">
        <f t="shared" si="3"/>
        <v>3</v>
      </c>
      <c r="T11" s="2">
        <f>VLOOKUP(S11,折扣阶梯!$A$3:$C$7,2,TRUE)</f>
        <v>1</v>
      </c>
      <c r="U11" s="9">
        <v>1797</v>
      </c>
      <c r="V11" s="5">
        <f t="shared" si="4"/>
        <v>1797</v>
      </c>
      <c r="W11" s="6" t="s">
        <v>50</v>
      </c>
      <c r="X11">
        <f t="shared" si="5"/>
        <v>1797</v>
      </c>
      <c r="Y11">
        <f>_xlfn.XLOOKUP(O11,产品信息表!$A$4:$A$15,产品信息表!$E$4:$E$15)</f>
        <v>250</v>
      </c>
      <c r="Z11" s="31">
        <f t="shared" si="6"/>
        <v>0.58263772954924875</v>
      </c>
      <c r="AA11">
        <f t="shared" si="7"/>
        <v>176</v>
      </c>
    </row>
    <row r="12" spans="1:27" ht="14.5">
      <c r="A12" s="2" t="s">
        <v>59</v>
      </c>
      <c r="B12" s="3">
        <v>46043</v>
      </c>
      <c r="C12" s="3" t="str">
        <f t="shared" si="0"/>
        <v>2026-01-21</v>
      </c>
      <c r="D12" s="2" t="s">
        <v>60</v>
      </c>
      <c r="E12" s="2" t="str">
        <f>VLOOKUP(D12,客户信息表!A$3:H$23,2,0)</f>
        <v>杭州云图信息</v>
      </c>
      <c r="F12" s="4" t="s">
        <v>61</v>
      </c>
      <c r="G12" s="4" t="str">
        <f>INDEX(客户信息表!$A$4:$H$23,MATCH(F12,客户信息表!$B$4:$B$23,0),1)</f>
        <v>KH005</v>
      </c>
      <c r="H12" s="4" t="str">
        <f>_xlfn.XLOOKUP(O12,产品信息表!$A$4:$A$15,产品信息表!$C$4:$C$15)</f>
        <v>电子数码</v>
      </c>
      <c r="I12" s="30">
        <f>DATE(MID(A12,4,4),MID(A12,8,2),MID(A12,10,2))</f>
        <v>46043</v>
      </c>
      <c r="J12" s="4" t="str">
        <f t="shared" si="1"/>
        <v>0011</v>
      </c>
      <c r="K12" s="4" t="str">
        <f>VLOOKUP(D12,客户信息表!$A$3:$H$23,5,0)</f>
        <v>A</v>
      </c>
      <c r="L12" s="2" t="s">
        <v>11</v>
      </c>
      <c r="M12" s="2" t="s">
        <v>19</v>
      </c>
      <c r="N12" s="2" t="str">
        <f t="shared" si="2"/>
        <v>华东</v>
      </c>
      <c r="O12" s="2" t="s">
        <v>62</v>
      </c>
      <c r="P12" s="4" t="s">
        <v>63</v>
      </c>
      <c r="Q12" s="5">
        <v>1299</v>
      </c>
      <c r="R12" s="2">
        <v>2</v>
      </c>
      <c r="S12" s="2">
        <f t="shared" si="3"/>
        <v>2</v>
      </c>
      <c r="T12" s="2">
        <f>VLOOKUP(S12,折扣阶梯!$A$3:$C$7,2,TRUE)</f>
        <v>1</v>
      </c>
      <c r="U12" s="5">
        <v>2598</v>
      </c>
      <c r="V12" s="5">
        <f t="shared" si="4"/>
        <v>2598</v>
      </c>
      <c r="W12" s="2" t="s">
        <v>14</v>
      </c>
      <c r="X12">
        <f t="shared" si="5"/>
        <v>2598</v>
      </c>
      <c r="Y12">
        <f>_xlfn.XLOOKUP(O12,产品信息表!$A$4:$A$15,产品信息表!$E$4:$E$15)</f>
        <v>950</v>
      </c>
      <c r="Z12" s="31">
        <f t="shared" si="6"/>
        <v>0.26866820631254812</v>
      </c>
      <c r="AA12">
        <f t="shared" si="7"/>
        <v>171</v>
      </c>
    </row>
    <row r="13" spans="1:27" ht="14.5">
      <c r="A13" s="6" t="s">
        <v>64</v>
      </c>
      <c r="B13" s="7">
        <v>46045</v>
      </c>
      <c r="C13" s="3" t="str">
        <f t="shared" si="0"/>
        <v>2026-01-23</v>
      </c>
      <c r="D13" s="6" t="s">
        <v>65</v>
      </c>
      <c r="E13" s="2" t="str">
        <f>VLOOKUP(D13,客户信息表!A$3:H$23,2,0)</f>
        <v>重庆山城办公设备</v>
      </c>
      <c r="F13" s="8" t="s">
        <v>66</v>
      </c>
      <c r="G13" s="4" t="str">
        <f>INDEX(客户信息表!$A$4:$H$23,MATCH(F13,客户信息表!$B$4:$B$23,0),1)</f>
        <v>KH011</v>
      </c>
      <c r="H13" s="4" t="str">
        <f>_xlfn.XLOOKUP(O13,产品信息表!$A$4:$A$15,产品信息表!$C$4:$C$15)</f>
        <v>软件服务</v>
      </c>
      <c r="I13" s="30">
        <f>DATE(MID(A13,4,4),MID(A13,8,2),MID(A13,10,2))</f>
        <v>46045</v>
      </c>
      <c r="J13" s="4" t="str">
        <f t="shared" si="1"/>
        <v>0012</v>
      </c>
      <c r="K13" s="4" t="str">
        <f>VLOOKUP(D13,客户信息表!$A$3:$H$23,5,0)</f>
        <v>B</v>
      </c>
      <c r="L13" s="6" t="s">
        <v>67</v>
      </c>
      <c r="M13" s="6" t="s">
        <v>68</v>
      </c>
      <c r="N13" s="2" t="str">
        <f t="shared" si="2"/>
        <v>西南</v>
      </c>
      <c r="O13" s="6" t="s">
        <v>12</v>
      </c>
      <c r="P13" s="8" t="s">
        <v>13</v>
      </c>
      <c r="Q13" s="9">
        <v>699</v>
      </c>
      <c r="R13" s="6" t="s">
        <v>69</v>
      </c>
      <c r="S13" s="2">
        <f t="shared" si="3"/>
        <v>11</v>
      </c>
      <c r="T13" s="2">
        <f>VLOOKUP(S13,折扣阶梯!$A$3:$C$7,2,TRUE)</f>
        <v>0.95</v>
      </c>
      <c r="U13" s="9">
        <v>7689</v>
      </c>
      <c r="V13" s="5">
        <f t="shared" si="4"/>
        <v>7689</v>
      </c>
      <c r="W13" s="6" t="s">
        <v>50</v>
      </c>
      <c r="X13">
        <f t="shared" si="5"/>
        <v>7304.5499999999993</v>
      </c>
      <c r="Y13">
        <f>_xlfn.XLOOKUP(O13,产品信息表!$A$4:$A$15,产品信息表!$E$4:$E$15)</f>
        <v>300</v>
      </c>
      <c r="Z13" s="31">
        <f t="shared" si="6"/>
        <v>0.54822679015134401</v>
      </c>
      <c r="AA13">
        <f t="shared" si="7"/>
        <v>116</v>
      </c>
    </row>
    <row r="14" spans="1:27" ht="14.5">
      <c r="A14" s="2" t="s">
        <v>70</v>
      </c>
      <c r="B14" s="3">
        <v>46046</v>
      </c>
      <c r="C14" s="3" t="str">
        <f t="shared" si="0"/>
        <v>2026-01-24</v>
      </c>
      <c r="D14" s="2" t="s">
        <v>71</v>
      </c>
      <c r="E14" s="2" t="str">
        <f>VLOOKUP(D14,客户信息表!A$3:H$23,2,0)</f>
        <v>成都天府商贸</v>
      </c>
      <c r="F14" s="4" t="s">
        <v>72</v>
      </c>
      <c r="G14" s="4" t="str">
        <f>INDEX(客户信息表!$A$4:$H$23,MATCH(F14,客户信息表!$B$4:$B$23,0),1)</f>
        <v>KH006</v>
      </c>
      <c r="H14" s="4" t="str">
        <f>_xlfn.XLOOKUP(O14,产品信息表!$A$4:$A$15,产品信息表!$C$4:$C$15)</f>
        <v>办公耗材</v>
      </c>
      <c r="I14" s="30">
        <f>DATE(MID(A14,4,4),MID(A14,8,2),MID(A14,10,2))</f>
        <v>46046</v>
      </c>
      <c r="J14" s="4" t="str">
        <f t="shared" si="1"/>
        <v>0013</v>
      </c>
      <c r="K14" s="4" t="str">
        <f>VLOOKUP(D14,客户信息表!$A$3:$H$23,5,0)</f>
        <v>C</v>
      </c>
      <c r="L14" s="2" t="s">
        <v>18</v>
      </c>
      <c r="M14" s="2" t="s">
        <v>68</v>
      </c>
      <c r="N14" s="2" t="str">
        <f t="shared" si="2"/>
        <v>西南</v>
      </c>
      <c r="O14" s="2" t="s">
        <v>73</v>
      </c>
      <c r="P14" s="4" t="s">
        <v>74</v>
      </c>
      <c r="Q14" s="5">
        <v>385</v>
      </c>
      <c r="R14" s="2">
        <v>96</v>
      </c>
      <c r="S14" s="2">
        <f t="shared" si="3"/>
        <v>96</v>
      </c>
      <c r="T14" s="2">
        <f>VLOOKUP(S14,折扣阶梯!$A$3:$C$7,2,TRUE)</f>
        <v>0.9</v>
      </c>
      <c r="U14" s="20">
        <v>36960</v>
      </c>
      <c r="V14" s="5">
        <f t="shared" si="4"/>
        <v>36960</v>
      </c>
      <c r="W14" s="2" t="s">
        <v>50</v>
      </c>
      <c r="X14">
        <f t="shared" si="5"/>
        <v>33264</v>
      </c>
      <c r="Y14">
        <f>_xlfn.XLOOKUP(O14,产品信息表!$A$4:$A$15,产品信息表!$E$4:$E$15)</f>
        <v>260</v>
      </c>
      <c r="Z14" s="31">
        <f t="shared" si="6"/>
        <v>0.24963924963924963</v>
      </c>
      <c r="AA14">
        <f t="shared" si="7"/>
        <v>18</v>
      </c>
    </row>
    <row r="15" spans="1:27" ht="14.5">
      <c r="A15" s="6" t="s">
        <v>75</v>
      </c>
      <c r="B15" s="7">
        <v>46047</v>
      </c>
      <c r="C15" s="3" t="str">
        <f t="shared" si="0"/>
        <v>2026-01-25</v>
      </c>
      <c r="D15" s="6" t="s">
        <v>76</v>
      </c>
      <c r="E15" s="2" t="str">
        <f>VLOOKUP(D15,客户信息表!A$3:H$23,2,0)</f>
        <v>北京华信科技</v>
      </c>
      <c r="F15" s="8" t="s">
        <v>77</v>
      </c>
      <c r="G15" s="4" t="str">
        <f>INDEX(客户信息表!$A$4:$H$23,MATCH(F15,客户信息表!$B$4:$B$23,0),1)</f>
        <v>KH001</v>
      </c>
      <c r="H15" s="4" t="str">
        <f>_xlfn.XLOOKUP(O15,产品信息表!$A$4:$A$15,产品信息表!$C$4:$C$15)</f>
        <v>办公耗材</v>
      </c>
      <c r="I15" s="30">
        <f>DATE(MID(A15,4,4),MID(A15,8,2),MID(A15,10,2))</f>
        <v>46047</v>
      </c>
      <c r="J15" s="4" t="str">
        <f t="shared" si="1"/>
        <v>0014</v>
      </c>
      <c r="K15" s="4" t="str">
        <f>VLOOKUP(D15,客户信息表!$A$3:$H$23,5,0)</f>
        <v>A</v>
      </c>
      <c r="L15" s="6" t="s">
        <v>78</v>
      </c>
      <c r="M15" s="6" t="s">
        <v>38</v>
      </c>
      <c r="N15" s="2" t="str">
        <f t="shared" si="2"/>
        <v>华北</v>
      </c>
      <c r="O15" s="6" t="s">
        <v>73</v>
      </c>
      <c r="P15" s="8" t="s">
        <v>74</v>
      </c>
      <c r="Q15" s="9">
        <v>385</v>
      </c>
      <c r="R15" s="6" t="s">
        <v>79</v>
      </c>
      <c r="S15" s="2">
        <f t="shared" si="3"/>
        <v>32</v>
      </c>
      <c r="T15" s="2">
        <f>VLOOKUP(S15,折扣阶梯!$A$3:$C$7,2,TRUE)</f>
        <v>0.95</v>
      </c>
      <c r="U15" s="9">
        <v>12320</v>
      </c>
      <c r="V15" s="5">
        <f t="shared" si="4"/>
        <v>12320</v>
      </c>
      <c r="W15" s="6" t="s">
        <v>22</v>
      </c>
      <c r="X15">
        <f t="shared" si="5"/>
        <v>11704</v>
      </c>
      <c r="Y15">
        <f>_xlfn.XLOOKUP(O15,产品信息表!$A$4:$A$15,产品信息表!$E$4:$E$15)</f>
        <v>260</v>
      </c>
      <c r="Z15" s="31">
        <f t="shared" si="6"/>
        <v>0.28913192071086807</v>
      </c>
      <c r="AA15">
        <f t="shared" si="7"/>
        <v>89</v>
      </c>
    </row>
    <row r="16" spans="1:27" ht="14.5">
      <c r="A16" s="2" t="s">
        <v>80</v>
      </c>
      <c r="B16" s="3">
        <v>46048</v>
      </c>
      <c r="C16" s="3" t="str">
        <f t="shared" si="0"/>
        <v>2026-01-26</v>
      </c>
      <c r="D16" s="2" t="s">
        <v>35</v>
      </c>
      <c r="E16" s="2" t="str">
        <f>VLOOKUP(D16,客户信息表!A$3:H$23,2,0)</f>
        <v>北京中关新材</v>
      </c>
      <c r="F16" s="4" t="s">
        <v>36</v>
      </c>
      <c r="G16" s="4" t="str">
        <f>INDEX(客户信息表!$A$4:$H$23,MATCH(F16,客户信息表!$B$4:$B$23,0),1)</f>
        <v>KH019</v>
      </c>
      <c r="H16" s="4" t="str">
        <f>_xlfn.XLOOKUP(O16,产品信息表!$A$4:$A$15,产品信息表!$C$4:$C$15)</f>
        <v>办公设备</v>
      </c>
      <c r="I16" s="30">
        <f>DATE(MID(A16,4,4),MID(A16,8,2),MID(A16,10,2))</f>
        <v>46048</v>
      </c>
      <c r="J16" s="4" t="str">
        <f t="shared" si="1"/>
        <v>0015</v>
      </c>
      <c r="K16" s="4" t="str">
        <f>VLOOKUP(D16,客户信息表!$A$3:$H$23,5,0)</f>
        <v>B</v>
      </c>
      <c r="L16" s="2" t="s">
        <v>11</v>
      </c>
      <c r="M16" s="2" t="s">
        <v>38</v>
      </c>
      <c r="N16" s="2" t="str">
        <f t="shared" si="2"/>
        <v>华北</v>
      </c>
      <c r="O16" s="2" t="s">
        <v>81</v>
      </c>
      <c r="P16" s="4" t="s">
        <v>82</v>
      </c>
      <c r="Q16" s="5">
        <v>2499</v>
      </c>
      <c r="R16" s="2"/>
      <c r="S16" s="2">
        <f t="shared" si="3"/>
        <v>4</v>
      </c>
      <c r="T16" s="2">
        <f>VLOOKUP(S16,折扣阶梯!$A$3:$C$7,2,TRUE)</f>
        <v>1</v>
      </c>
      <c r="U16" s="5">
        <v>9996</v>
      </c>
      <c r="V16" s="5">
        <f t="shared" si="4"/>
        <v>9996</v>
      </c>
      <c r="W16" s="2" t="s">
        <v>22</v>
      </c>
      <c r="X16">
        <f t="shared" si="5"/>
        <v>9996</v>
      </c>
      <c r="Y16">
        <f>_xlfn.XLOOKUP(O16,产品信息表!$A$4:$A$15,产品信息表!$E$4:$E$15)</f>
        <v>1850</v>
      </c>
      <c r="Z16" s="31">
        <f t="shared" si="6"/>
        <v>0.25970388155262103</v>
      </c>
      <c r="AA16">
        <f t="shared" si="7"/>
        <v>100</v>
      </c>
    </row>
    <row r="17" spans="1:27" ht="14.5">
      <c r="A17" s="6" t="s">
        <v>83</v>
      </c>
      <c r="B17" s="7">
        <v>46250</v>
      </c>
      <c r="C17" s="3" t="str">
        <f t="shared" si="0"/>
        <v>2026-08-16</v>
      </c>
      <c r="D17" s="6" t="s">
        <v>84</v>
      </c>
      <c r="E17" s="2" t="str">
        <f>VLOOKUP(D17,客户信息表!A$3:H$23,2,0)</f>
        <v>昆明滇池科技</v>
      </c>
      <c r="F17" s="8" t="s">
        <v>85</v>
      </c>
      <c r="G17" s="4" t="str">
        <f>INDEX(客户信息表!$A$4:$H$23,MATCH(F17,客户信息表!$B$4:$B$23,0),1)</f>
        <v>KH016</v>
      </c>
      <c r="H17" s="4" t="str">
        <f>_xlfn.XLOOKUP(O17,产品信息表!$A$4:$A$15,产品信息表!$C$4:$C$15)</f>
        <v>办公耗材</v>
      </c>
      <c r="I17" s="30">
        <f>DATE(MID(A17,4,4),MID(A17,8,2),MID(A17,10,2))</f>
        <v>46250</v>
      </c>
      <c r="J17" s="4" t="str">
        <f t="shared" si="1"/>
        <v>0196</v>
      </c>
      <c r="K17" s="4" t="str">
        <f>VLOOKUP(D17,客户信息表!$A$3:$H$23,5,0)</f>
        <v>C</v>
      </c>
      <c r="L17" s="6" t="s">
        <v>44</v>
      </c>
      <c r="M17" s="6" t="s">
        <v>86</v>
      </c>
      <c r="N17" s="2" t="str">
        <f t="shared" si="2"/>
        <v>西南</v>
      </c>
      <c r="O17" s="6" t="s">
        <v>39</v>
      </c>
      <c r="P17" s="8" t="s">
        <v>40</v>
      </c>
      <c r="Q17" s="9">
        <v>128</v>
      </c>
      <c r="R17" s="6">
        <v>77</v>
      </c>
      <c r="S17" s="2">
        <f t="shared" si="3"/>
        <v>77</v>
      </c>
      <c r="T17" s="2">
        <f>VLOOKUP(S17,折扣阶梯!$A$3:$C$7,2,TRUE)</f>
        <v>0.9</v>
      </c>
      <c r="U17" s="9">
        <v>9856</v>
      </c>
      <c r="V17" s="5">
        <f t="shared" si="4"/>
        <v>9856</v>
      </c>
      <c r="W17" s="6" t="s">
        <v>50</v>
      </c>
      <c r="X17">
        <f t="shared" si="5"/>
        <v>8870.4</v>
      </c>
      <c r="Y17">
        <f>_xlfn.XLOOKUP(O17,产品信息表!$A$4:$A$15,产品信息表!$E$4:$E$15)</f>
        <v>95</v>
      </c>
      <c r="Z17" s="31">
        <f t="shared" si="6"/>
        <v>0.17534722222222218</v>
      </c>
      <c r="AA17">
        <f t="shared" si="7"/>
        <v>102</v>
      </c>
    </row>
    <row r="18" spans="1:27" ht="14.5">
      <c r="A18" s="2" t="s">
        <v>87</v>
      </c>
      <c r="B18" s="3">
        <v>46048</v>
      </c>
      <c r="C18" s="3" t="str">
        <f t="shared" si="0"/>
        <v>2026-01-26</v>
      </c>
      <c r="D18" s="2" t="s">
        <v>42</v>
      </c>
      <c r="E18" s="2" t="str">
        <f>VLOOKUP(D18,客户信息表!A$3:H$23,2,0)</f>
        <v>郑州中原物流</v>
      </c>
      <c r="F18" s="4" t="s">
        <v>43</v>
      </c>
      <c r="G18" s="4" t="str">
        <f>INDEX(客户信息表!$A$4:$H$23,MATCH(F18,客户信息表!$B$4:$B$23,0),1)</f>
        <v>KH017</v>
      </c>
      <c r="H18" s="4" t="str">
        <f>_xlfn.XLOOKUP(O18,产品信息表!$A$4:$A$15,产品信息表!$C$4:$C$15)</f>
        <v>办公设备</v>
      </c>
      <c r="I18" s="30">
        <f>DATE(MID(A18,4,4),MID(A18,8,2),MID(A18,10,2))</f>
        <v>46048</v>
      </c>
      <c r="J18" s="4" t="str">
        <f t="shared" si="1"/>
        <v>0016</v>
      </c>
      <c r="K18" s="4" t="str">
        <f>VLOOKUP(D18,客户信息表!$A$3:$H$23,5,0)</f>
        <v>B</v>
      </c>
      <c r="L18" s="2" t="s">
        <v>37</v>
      </c>
      <c r="M18" s="2" t="s">
        <v>33</v>
      </c>
      <c r="N18" s="2" t="str">
        <f t="shared" si="2"/>
        <v>华中</v>
      </c>
      <c r="O18" s="2" t="s">
        <v>26</v>
      </c>
      <c r="P18" s="4" t="s">
        <v>27</v>
      </c>
      <c r="Q18" s="5">
        <v>899</v>
      </c>
      <c r="R18" s="2">
        <v>4</v>
      </c>
      <c r="S18" s="2">
        <f t="shared" si="3"/>
        <v>4</v>
      </c>
      <c r="T18" s="2">
        <f>VLOOKUP(S18,折扣阶梯!$A$3:$C$7,2,TRUE)</f>
        <v>1</v>
      </c>
      <c r="U18" s="5">
        <v>3596</v>
      </c>
      <c r="V18" s="5">
        <f t="shared" si="4"/>
        <v>3596</v>
      </c>
      <c r="W18" s="2" t="s">
        <v>50</v>
      </c>
      <c r="X18">
        <f t="shared" si="5"/>
        <v>3596</v>
      </c>
      <c r="Y18">
        <f>_xlfn.XLOOKUP(O18,产品信息表!$A$4:$A$15,产品信息表!$E$4:$E$15)</f>
        <v>620</v>
      </c>
      <c r="Z18" s="31">
        <f t="shared" si="6"/>
        <v>0.31034482758620691</v>
      </c>
      <c r="AA18">
        <f t="shared" si="7"/>
        <v>149</v>
      </c>
    </row>
    <row r="19" spans="1:27" ht="14.5">
      <c r="A19" s="6" t="s">
        <v>88</v>
      </c>
      <c r="B19" s="7">
        <v>46049</v>
      </c>
      <c r="C19" s="3" t="str">
        <f t="shared" si="0"/>
        <v>2026-01-27</v>
      </c>
      <c r="D19" s="6" t="s">
        <v>42</v>
      </c>
      <c r="E19" s="2" t="str">
        <f>VLOOKUP(D19,客户信息表!A$3:H$23,2,0)</f>
        <v>郑州中原物流</v>
      </c>
      <c r="F19" s="8" t="s">
        <v>43</v>
      </c>
      <c r="G19" s="4" t="str">
        <f>INDEX(客户信息表!$A$4:$H$23,MATCH(F19,客户信息表!$B$4:$B$23,0),1)</f>
        <v>KH017</v>
      </c>
      <c r="H19" s="4" t="str">
        <f>_xlfn.XLOOKUP(O19,产品信息表!$A$4:$A$15,产品信息表!$C$4:$C$15)</f>
        <v>电子数码</v>
      </c>
      <c r="I19" s="30">
        <f>DATE(MID(A19,4,4),MID(A19,8,2),MID(A19,10,2))</f>
        <v>46049</v>
      </c>
      <c r="J19" s="4" t="str">
        <f t="shared" si="1"/>
        <v>0017</v>
      </c>
      <c r="K19" s="4" t="str">
        <f>VLOOKUP(D19,客户信息表!$A$3:$H$23,5,0)</f>
        <v>B</v>
      </c>
      <c r="L19" s="6" t="s">
        <v>44</v>
      </c>
      <c r="M19" s="6" t="s">
        <v>45</v>
      </c>
      <c r="N19" s="2" t="str">
        <f t="shared" si="2"/>
        <v>华中</v>
      </c>
      <c r="O19" s="6" t="s">
        <v>20</v>
      </c>
      <c r="P19" s="8" t="s">
        <v>21</v>
      </c>
      <c r="Q19" s="9">
        <v>299</v>
      </c>
      <c r="R19" s="6">
        <v>7</v>
      </c>
      <c r="S19" s="2">
        <f t="shared" si="3"/>
        <v>7</v>
      </c>
      <c r="T19" s="2">
        <f>VLOOKUP(S19,折扣阶梯!$A$3:$C$7,2,TRUE)</f>
        <v>1</v>
      </c>
      <c r="U19" s="9">
        <v>2093</v>
      </c>
      <c r="V19" s="5">
        <f t="shared" si="4"/>
        <v>2093</v>
      </c>
      <c r="W19" s="6" t="s">
        <v>89</v>
      </c>
      <c r="X19">
        <f t="shared" si="5"/>
        <v>2093</v>
      </c>
      <c r="Y19">
        <f>_xlfn.XLOOKUP(O19,产品信息表!$A$4:$A$15,产品信息表!$E$4:$E$15)</f>
        <v>190</v>
      </c>
      <c r="Z19" s="31">
        <f t="shared" si="6"/>
        <v>0.36454849498327757</v>
      </c>
      <c r="AA19">
        <f t="shared" si="7"/>
        <v>167</v>
      </c>
    </row>
    <row r="20" spans="1:27" ht="14.5">
      <c r="A20" s="2" t="s">
        <v>90</v>
      </c>
      <c r="B20" s="3">
        <v>46049</v>
      </c>
      <c r="C20" s="3" t="str">
        <f t="shared" si="0"/>
        <v>2026-01-27</v>
      </c>
      <c r="D20" s="2" t="s">
        <v>52</v>
      </c>
      <c r="E20" s="2" t="str">
        <f>VLOOKUP(D20,客户信息表!A$3:H$23,2,0)</f>
        <v>武汉长江实业</v>
      </c>
      <c r="F20" s="4" t="s">
        <v>53</v>
      </c>
      <c r="G20" s="4" t="str">
        <f>INDEX(客户信息表!$A$4:$H$23,MATCH(F20,客户信息表!$B$4:$B$23,0),1)</f>
        <v>KH007</v>
      </c>
      <c r="H20" s="4" t="str">
        <f>_xlfn.XLOOKUP(O20,产品信息表!$A$4:$A$15,产品信息表!$C$4:$C$15)</f>
        <v>电子数码</v>
      </c>
      <c r="I20" s="30">
        <f>DATE(MID(A20,4,4),MID(A20,8,2),MID(A20,10,2))</f>
        <v>46049</v>
      </c>
      <c r="J20" s="4" t="str">
        <f t="shared" si="1"/>
        <v>0018</v>
      </c>
      <c r="K20" s="4" t="str">
        <f>VLOOKUP(D20,客户信息表!$A$3:$H$23,5,0)</f>
        <v>B</v>
      </c>
      <c r="L20" s="2" t="s">
        <v>24</v>
      </c>
      <c r="M20" s="2" t="s">
        <v>45</v>
      </c>
      <c r="N20" s="2" t="str">
        <f t="shared" si="2"/>
        <v>华中</v>
      </c>
      <c r="O20" s="2" t="s">
        <v>91</v>
      </c>
      <c r="P20" s="4" t="s">
        <v>92</v>
      </c>
      <c r="Q20" s="5">
        <v>5699</v>
      </c>
      <c r="R20" s="2">
        <v>3</v>
      </c>
      <c r="S20" s="2">
        <f t="shared" si="3"/>
        <v>3</v>
      </c>
      <c r="T20" s="2">
        <f>VLOOKUP(S20,折扣阶梯!$A$3:$C$7,2,TRUE)</f>
        <v>1</v>
      </c>
      <c r="U20" s="5">
        <v>17097</v>
      </c>
      <c r="V20" s="5">
        <f t="shared" si="4"/>
        <v>17097</v>
      </c>
      <c r="W20" s="2" t="s">
        <v>50</v>
      </c>
      <c r="X20">
        <f t="shared" si="5"/>
        <v>17097</v>
      </c>
      <c r="Y20">
        <f>_xlfn.XLOOKUP(O20,产品信息表!$A$4:$A$15,产品信息表!$E$4:$E$15)</f>
        <v>4800</v>
      </c>
      <c r="Z20" s="31">
        <f t="shared" si="6"/>
        <v>0.15774697315318478</v>
      </c>
      <c r="AA20">
        <f t="shared" si="7"/>
        <v>63</v>
      </c>
    </row>
    <row r="21" spans="1:27" ht="14.5">
      <c r="A21" s="6" t="s">
        <v>93</v>
      </c>
      <c r="B21" s="7">
        <v>46051</v>
      </c>
      <c r="C21" s="3" t="str">
        <f t="shared" si="0"/>
        <v>2026-01-29</v>
      </c>
      <c r="D21" s="6" t="s">
        <v>94</v>
      </c>
      <c r="E21" s="2" t="str">
        <f>VLOOKUP(D21,客户信息表!A$3:H$23,2,0)</f>
        <v>合肥科大国创</v>
      </c>
      <c r="F21" s="8" t="s">
        <v>95</v>
      </c>
      <c r="G21" s="4" t="str">
        <f>INDEX(客户信息表!$A$4:$H$23,MATCH(F21,客户信息表!$B$4:$B$23,0),1)</f>
        <v>KH020</v>
      </c>
      <c r="H21" s="4" t="str">
        <f>_xlfn.XLOOKUP(O21,产品信息表!$A$4:$A$15,产品信息表!$C$4:$C$15)</f>
        <v>软件服务</v>
      </c>
      <c r="I21" s="30">
        <f>DATE(MID(A21,4,4),MID(A21,8,2),MID(A21,10,2))</f>
        <v>46051</v>
      </c>
      <c r="J21" s="4" t="str">
        <f t="shared" si="1"/>
        <v>0019</v>
      </c>
      <c r="K21" s="4" t="str">
        <f>VLOOKUP(D21,客户信息表!$A$3:$H$23,5,0)</f>
        <v>C</v>
      </c>
      <c r="L21" s="6" t="s">
        <v>11</v>
      </c>
      <c r="M21" s="6" t="s">
        <v>19</v>
      </c>
      <c r="N21" s="2" t="str">
        <f t="shared" si="2"/>
        <v>华东</v>
      </c>
      <c r="O21" s="6" t="s">
        <v>12</v>
      </c>
      <c r="P21" s="8" t="s">
        <v>96</v>
      </c>
      <c r="Q21" s="9">
        <v>699</v>
      </c>
      <c r="R21" s="6">
        <v>20</v>
      </c>
      <c r="S21" s="2">
        <f t="shared" si="3"/>
        <v>20</v>
      </c>
      <c r="T21" s="2">
        <f>VLOOKUP(S21,折扣阶梯!$A$3:$C$7,2,TRUE)</f>
        <v>0.95</v>
      </c>
      <c r="U21" s="9">
        <v>13980</v>
      </c>
      <c r="V21" s="5">
        <f t="shared" si="4"/>
        <v>13980</v>
      </c>
      <c r="W21" s="6" t="s">
        <v>50</v>
      </c>
      <c r="X21">
        <f t="shared" si="5"/>
        <v>13281</v>
      </c>
      <c r="Y21">
        <f>_xlfn.XLOOKUP(O21,产品信息表!$A$4:$A$15,产品信息表!$E$4:$E$15)</f>
        <v>300</v>
      </c>
      <c r="Z21" s="31">
        <f t="shared" si="6"/>
        <v>0.54822679015134401</v>
      </c>
      <c r="AA21">
        <f t="shared" si="7"/>
        <v>78</v>
      </c>
    </row>
    <row r="22" spans="1:27" ht="14.5">
      <c r="A22" s="2" t="s">
        <v>97</v>
      </c>
      <c r="B22" s="3">
        <v>46052</v>
      </c>
      <c r="C22" s="3" t="str">
        <f t="shared" si="0"/>
        <v>2026-01-30</v>
      </c>
      <c r="D22" s="2" t="s">
        <v>427</v>
      </c>
      <c r="E22" s="2" t="str">
        <f>VLOOKUP(D22,客户信息表!A$3:H$23,2,0)</f>
        <v>苏州创智科技</v>
      </c>
      <c r="F22" s="4" t="s">
        <v>99</v>
      </c>
      <c r="G22" s="4" t="str">
        <f>INDEX(客户信息表!$A$4:$H$23,MATCH(F22,客户信息表!$B$4:$B$23,0),1)</f>
        <v>KH010</v>
      </c>
      <c r="H22" s="4" t="str">
        <f>_xlfn.XLOOKUP(O22,产品信息表!$A$4:$A$15,产品信息表!$C$4:$C$15)</f>
        <v>电子数码</v>
      </c>
      <c r="I22" s="30">
        <f>DATE(MID(A22,4,4),MID(A22,8,2),MID(A22,10,2))</f>
        <v>46052</v>
      </c>
      <c r="J22" s="4" t="str">
        <f t="shared" si="1"/>
        <v>0020</v>
      </c>
      <c r="K22" s="4" t="str">
        <f>VLOOKUP(D22,客户信息表!$A$3:$H$23,5,0)</f>
        <v>A</v>
      </c>
      <c r="L22" s="2" t="s">
        <v>24</v>
      </c>
      <c r="M22" s="2" t="s">
        <v>19</v>
      </c>
      <c r="N22" s="2" t="str">
        <f t="shared" si="2"/>
        <v>华东</v>
      </c>
      <c r="O22" s="2" t="s">
        <v>20</v>
      </c>
      <c r="P22" s="4" t="s">
        <v>21</v>
      </c>
      <c r="Q22" s="5">
        <v>299</v>
      </c>
      <c r="R22" s="2">
        <v>9</v>
      </c>
      <c r="S22" s="2">
        <f t="shared" si="3"/>
        <v>9</v>
      </c>
      <c r="T22" s="2">
        <f>VLOOKUP(S22,折扣阶梯!$A$3:$C$7,2,TRUE)</f>
        <v>1</v>
      </c>
      <c r="U22" s="10" t="s">
        <v>100</v>
      </c>
      <c r="V22" s="5">
        <f t="shared" si="4"/>
        <v>2691</v>
      </c>
      <c r="W22" s="2" t="s">
        <v>89</v>
      </c>
      <c r="X22">
        <f t="shared" si="5"/>
        <v>2691</v>
      </c>
      <c r="Y22">
        <f>_xlfn.XLOOKUP(O22,产品信息表!$A$4:$A$15,产品信息表!$E$4:$E$15)</f>
        <v>190</v>
      </c>
      <c r="Z22" s="31">
        <f t="shared" si="6"/>
        <v>0.36454849498327757</v>
      </c>
      <c r="AA22">
        <f t="shared" si="7"/>
        <v>161</v>
      </c>
    </row>
    <row r="23" spans="1:27" ht="14.5">
      <c r="A23" s="6" t="s">
        <v>101</v>
      </c>
      <c r="B23" s="7">
        <v>46053</v>
      </c>
      <c r="C23" s="3" t="str">
        <f t="shared" si="0"/>
        <v>2026-01-31</v>
      </c>
      <c r="D23" s="6" t="s">
        <v>42</v>
      </c>
      <c r="E23" s="2" t="str">
        <f>VLOOKUP(D23,客户信息表!A$3:H$23,2,0)</f>
        <v>郑州中原物流</v>
      </c>
      <c r="F23" s="8" t="s">
        <v>43</v>
      </c>
      <c r="G23" s="4" t="str">
        <f>INDEX(客户信息表!$A$4:$H$23,MATCH(F23,客户信息表!$B$4:$B$23,0),1)</f>
        <v>KH017</v>
      </c>
      <c r="H23" s="4" t="str">
        <f>_xlfn.XLOOKUP(O23,产品信息表!$A$4:$A$15,产品信息表!$C$4:$C$15)</f>
        <v>电子数码</v>
      </c>
      <c r="I23" s="30">
        <f>DATE(MID(A23,4,4),MID(A23,8,2),MID(A23,10,2))</f>
        <v>46053</v>
      </c>
      <c r="J23" s="4" t="str">
        <f t="shared" si="1"/>
        <v>0021</v>
      </c>
      <c r="K23" s="4" t="str">
        <f>VLOOKUP(D23,客户信息表!$A$3:$H$23,5,0)</f>
        <v>B</v>
      </c>
      <c r="L23" s="6" t="s">
        <v>11</v>
      </c>
      <c r="M23" s="6" t="s">
        <v>45</v>
      </c>
      <c r="N23" s="2" t="str">
        <f t="shared" si="2"/>
        <v>华中</v>
      </c>
      <c r="O23" s="6" t="s">
        <v>91</v>
      </c>
      <c r="P23" s="8" t="s">
        <v>102</v>
      </c>
      <c r="Q23" s="9">
        <v>5699</v>
      </c>
      <c r="R23" s="6">
        <v>2</v>
      </c>
      <c r="S23" s="2">
        <f t="shared" si="3"/>
        <v>2</v>
      </c>
      <c r="T23" s="2">
        <f>VLOOKUP(S23,折扣阶梯!$A$3:$C$7,2,TRUE)</f>
        <v>1</v>
      </c>
      <c r="U23" s="9">
        <v>11398</v>
      </c>
      <c r="V23" s="5">
        <f t="shared" si="4"/>
        <v>11398</v>
      </c>
      <c r="W23" s="6" t="s">
        <v>22</v>
      </c>
      <c r="X23">
        <f t="shared" si="5"/>
        <v>11398</v>
      </c>
      <c r="Y23">
        <f>_xlfn.XLOOKUP(O23,产品信息表!$A$4:$A$15,产品信息表!$E$4:$E$15)</f>
        <v>4800</v>
      </c>
      <c r="Z23" s="31">
        <f t="shared" si="6"/>
        <v>0.15774697315318478</v>
      </c>
      <c r="AA23">
        <f t="shared" si="7"/>
        <v>92</v>
      </c>
    </row>
    <row r="24" spans="1:27" ht="14.5">
      <c r="A24" s="2" t="s">
        <v>103</v>
      </c>
      <c r="B24" s="3">
        <v>46054</v>
      </c>
      <c r="C24" s="3" t="str">
        <f t="shared" si="0"/>
        <v>2026-02-01</v>
      </c>
      <c r="D24" s="2" t="s">
        <v>52</v>
      </c>
      <c r="E24" s="2" t="str">
        <f>VLOOKUP(D24,客户信息表!A$3:H$23,2,0)</f>
        <v>武汉长江实业</v>
      </c>
      <c r="F24" s="4" t="s">
        <v>53</v>
      </c>
      <c r="G24" s="4" t="str">
        <f>INDEX(客户信息表!$A$4:$H$23,MATCH(F24,客户信息表!$B$4:$B$23,0),1)</f>
        <v>KH007</v>
      </c>
      <c r="H24" s="4" t="str">
        <f>_xlfn.XLOOKUP(O24,产品信息表!$A$4:$A$15,产品信息表!$C$4:$C$15)</f>
        <v>办公耗材</v>
      </c>
      <c r="I24" s="30">
        <f>DATE(MID(A24,4,4),MID(A24,8,2),MID(A24,10,2))</f>
        <v>46054</v>
      </c>
      <c r="J24" s="4" t="str">
        <f t="shared" si="1"/>
        <v>0022</v>
      </c>
      <c r="K24" s="4" t="str">
        <f>VLOOKUP(D24,客户信息表!$A$3:$H$23,5,0)</f>
        <v>B</v>
      </c>
      <c r="L24" s="2" t="s">
        <v>37</v>
      </c>
      <c r="M24" s="2" t="s">
        <v>45</v>
      </c>
      <c r="N24" s="2" t="str">
        <f t="shared" si="2"/>
        <v>华中</v>
      </c>
      <c r="O24" s="2" t="s">
        <v>48</v>
      </c>
      <c r="P24" s="4" t="s">
        <v>49</v>
      </c>
      <c r="Q24" s="5">
        <v>45</v>
      </c>
      <c r="R24" s="2">
        <v>118</v>
      </c>
      <c r="S24" s="2">
        <f t="shared" si="3"/>
        <v>118</v>
      </c>
      <c r="T24" s="2">
        <f>VLOOKUP(S24,折扣阶梯!$A$3:$C$7,2,TRUE)</f>
        <v>0.85</v>
      </c>
      <c r="U24" s="5">
        <v>5310</v>
      </c>
      <c r="V24" s="5">
        <f t="shared" si="4"/>
        <v>5310</v>
      </c>
      <c r="W24" s="2" t="s">
        <v>14</v>
      </c>
      <c r="X24">
        <f t="shared" si="5"/>
        <v>4513.5</v>
      </c>
      <c r="Y24">
        <f>_xlfn.XLOOKUP(O24,产品信息表!$A$4:$A$15,产品信息表!$E$4:$E$15)</f>
        <v>28</v>
      </c>
      <c r="Z24" s="31">
        <f t="shared" si="6"/>
        <v>0.26797385620915032</v>
      </c>
      <c r="AA24">
        <f t="shared" si="7"/>
        <v>129</v>
      </c>
    </row>
    <row r="25" spans="1:27" ht="14.5">
      <c r="A25" s="6" t="s">
        <v>104</v>
      </c>
      <c r="B25" s="7">
        <v>46056</v>
      </c>
      <c r="C25" s="3" t="str">
        <f t="shared" si="0"/>
        <v>2026-02-03</v>
      </c>
      <c r="D25" s="6" t="s">
        <v>71</v>
      </c>
      <c r="E25" s="2" t="str">
        <f>VLOOKUP(D25,客户信息表!A$3:H$23,2,0)</f>
        <v>成都天府商贸</v>
      </c>
      <c r="F25" s="8" t="s">
        <v>72</v>
      </c>
      <c r="G25" s="4" t="str">
        <f>INDEX(客户信息表!$A$4:$H$23,MATCH(F25,客户信息表!$B$4:$B$23,0),1)</f>
        <v>KH006</v>
      </c>
      <c r="H25" s="4" t="str">
        <f>_xlfn.XLOOKUP(O25,产品信息表!$A$4:$A$15,产品信息表!$C$4:$C$15)</f>
        <v>办公设备</v>
      </c>
      <c r="I25" s="30">
        <f>DATE(MID(A25,4,4),MID(A25,8,2),MID(A25,10,2))</f>
        <v>46056</v>
      </c>
      <c r="J25" s="4" t="str">
        <f t="shared" si="1"/>
        <v>0023</v>
      </c>
      <c r="K25" s="4" t="str">
        <f>VLOOKUP(D25,客户信息表!$A$3:$H$23,5,0)</f>
        <v>C</v>
      </c>
      <c r="L25" s="6" t="s">
        <v>18</v>
      </c>
      <c r="M25" s="6" t="s">
        <v>68</v>
      </c>
      <c r="N25" s="2" t="str">
        <f t="shared" si="2"/>
        <v>西南</v>
      </c>
      <c r="O25" s="6" t="s">
        <v>26</v>
      </c>
      <c r="P25" s="8" t="s">
        <v>27</v>
      </c>
      <c r="Q25" s="9">
        <v>899</v>
      </c>
      <c r="R25" s="6">
        <v>4</v>
      </c>
      <c r="S25" s="2">
        <f t="shared" si="3"/>
        <v>4</v>
      </c>
      <c r="T25" s="2">
        <f>VLOOKUP(S25,折扣阶梯!$A$3:$C$7,2,TRUE)</f>
        <v>1</v>
      </c>
      <c r="U25" s="9">
        <v>3596</v>
      </c>
      <c r="V25" s="5">
        <f t="shared" si="4"/>
        <v>3596</v>
      </c>
      <c r="W25" s="6" t="s">
        <v>22</v>
      </c>
      <c r="X25">
        <f t="shared" si="5"/>
        <v>3596</v>
      </c>
      <c r="Y25">
        <f>_xlfn.XLOOKUP(O25,产品信息表!$A$4:$A$15,产品信息表!$E$4:$E$15)</f>
        <v>620</v>
      </c>
      <c r="Z25" s="31">
        <f t="shared" si="6"/>
        <v>0.31034482758620691</v>
      </c>
      <c r="AA25">
        <f t="shared" si="7"/>
        <v>145</v>
      </c>
    </row>
    <row r="26" spans="1:27" ht="14.5">
      <c r="A26" s="2" t="s">
        <v>105</v>
      </c>
      <c r="B26" s="3">
        <v>46059</v>
      </c>
      <c r="C26" s="3" t="str">
        <f t="shared" si="0"/>
        <v>2026-02-06</v>
      </c>
      <c r="D26" s="2" t="s">
        <v>60</v>
      </c>
      <c r="E26" s="2" t="str">
        <f>VLOOKUP(D26,客户信息表!A$3:H$23,2,0)</f>
        <v>杭州云图信息</v>
      </c>
      <c r="F26" s="4" t="s">
        <v>61</v>
      </c>
      <c r="G26" s="4" t="str">
        <f>INDEX(客户信息表!$A$4:$H$23,MATCH(F26,客户信息表!$B$4:$B$23,0),1)</f>
        <v>KH005</v>
      </c>
      <c r="H26" s="4" t="str">
        <f>_xlfn.XLOOKUP(O26,产品信息表!$A$4:$A$15,产品信息表!$C$4:$C$15)</f>
        <v>办公耗材</v>
      </c>
      <c r="I26" s="30">
        <f>DATE(MID(A26,4,4),MID(A26,8,2),MID(A26,10,2))</f>
        <v>46059</v>
      </c>
      <c r="J26" s="4" t="str">
        <f t="shared" si="1"/>
        <v>0024</v>
      </c>
      <c r="K26" s="4" t="str">
        <f>VLOOKUP(D26,客户信息表!$A$3:$H$23,5,0)</f>
        <v>A</v>
      </c>
      <c r="L26" s="2" t="s">
        <v>67</v>
      </c>
      <c r="M26" s="2" t="s">
        <v>19</v>
      </c>
      <c r="N26" s="2" t="str">
        <f t="shared" si="2"/>
        <v>华东</v>
      </c>
      <c r="O26" s="2" t="s">
        <v>48</v>
      </c>
      <c r="P26" s="4" t="s">
        <v>49</v>
      </c>
      <c r="Q26" s="5">
        <v>45</v>
      </c>
      <c r="R26" s="2">
        <v>103</v>
      </c>
      <c r="S26" s="2">
        <f t="shared" si="3"/>
        <v>103</v>
      </c>
      <c r="T26" s="2">
        <f>VLOOKUP(S26,折扣阶梯!$A$3:$C$7,2,TRUE)</f>
        <v>0.85</v>
      </c>
      <c r="U26" s="5">
        <v>4635</v>
      </c>
      <c r="V26" s="5">
        <f t="shared" si="4"/>
        <v>4635</v>
      </c>
      <c r="W26" s="2" t="s">
        <v>50</v>
      </c>
      <c r="X26">
        <f t="shared" si="5"/>
        <v>3939.75</v>
      </c>
      <c r="Y26">
        <f>_xlfn.XLOOKUP(O26,产品信息表!$A$4:$A$15,产品信息表!$E$4:$E$15)</f>
        <v>28</v>
      </c>
      <c r="Z26" s="31">
        <f t="shared" si="6"/>
        <v>0.26797385620915032</v>
      </c>
      <c r="AA26">
        <f t="shared" si="7"/>
        <v>134</v>
      </c>
    </row>
    <row r="27" spans="1:27" ht="14.5">
      <c r="A27" s="6" t="s">
        <v>106</v>
      </c>
      <c r="B27" s="7">
        <v>46206</v>
      </c>
      <c r="C27" s="3" t="str">
        <f t="shared" si="0"/>
        <v>2026-07-03</v>
      </c>
      <c r="D27" s="6" t="s">
        <v>107</v>
      </c>
      <c r="E27" s="2" t="str">
        <f>VLOOKUP(D27,客户信息表!A$3:H$23,2,0)</f>
        <v>天津海河传媒</v>
      </c>
      <c r="F27" s="8" t="s">
        <v>108</v>
      </c>
      <c r="G27" s="4" t="str">
        <f>INDEX(客户信息表!$A$4:$H$23,MATCH(F27,客户信息表!$B$4:$B$23,0),1)</f>
        <v>KH009</v>
      </c>
      <c r="H27" s="4" t="str">
        <f>_xlfn.XLOOKUP(O27,产品信息表!$A$4:$A$15,产品信息表!$C$4:$C$15)</f>
        <v>办公耗材</v>
      </c>
      <c r="I27" s="30">
        <f>DATE(MID(A27,4,4),MID(A27,8,2),MID(A27,10,2))</f>
        <v>46206</v>
      </c>
      <c r="J27" s="4" t="str">
        <f t="shared" si="1"/>
        <v>0152</v>
      </c>
      <c r="K27" s="4" t="str">
        <f>VLOOKUP(D27,客户信息表!$A$3:$H$23,5,0)</f>
        <v>C</v>
      </c>
      <c r="L27" s="6" t="s">
        <v>55</v>
      </c>
      <c r="M27" s="6" t="s">
        <v>109</v>
      </c>
      <c r="N27" s="2" t="str">
        <f t="shared" si="2"/>
        <v>华北</v>
      </c>
      <c r="O27" s="6" t="s">
        <v>73</v>
      </c>
      <c r="P27" s="8" t="s">
        <v>74</v>
      </c>
      <c r="Q27" s="9">
        <v>385</v>
      </c>
      <c r="R27" s="6">
        <v>97</v>
      </c>
      <c r="S27" s="2">
        <f t="shared" si="3"/>
        <v>97</v>
      </c>
      <c r="T27" s="2">
        <f>VLOOKUP(S27,折扣阶梯!$A$3:$C$7,2,TRUE)</f>
        <v>0.9</v>
      </c>
      <c r="U27" s="9">
        <v>37345</v>
      </c>
      <c r="V27" s="5">
        <f t="shared" si="4"/>
        <v>37345</v>
      </c>
      <c r="W27" s="6" t="s">
        <v>50</v>
      </c>
      <c r="X27">
        <f t="shared" si="5"/>
        <v>33610.5</v>
      </c>
      <c r="Y27">
        <f>_xlfn.XLOOKUP(O27,产品信息表!$A$4:$A$15,产品信息表!$E$4:$E$15)</f>
        <v>260</v>
      </c>
      <c r="Z27" s="31">
        <f t="shared" si="6"/>
        <v>0.24963924963924963</v>
      </c>
      <c r="AA27">
        <f t="shared" si="7"/>
        <v>17</v>
      </c>
    </row>
    <row r="28" spans="1:27" ht="14.5">
      <c r="A28" s="2" t="s">
        <v>110</v>
      </c>
      <c r="B28" s="3">
        <v>46059</v>
      </c>
      <c r="C28" s="3" t="str">
        <f t="shared" si="0"/>
        <v>2026-02-06</v>
      </c>
      <c r="D28" s="2" t="s">
        <v>65</v>
      </c>
      <c r="E28" s="2" t="str">
        <f>VLOOKUP(D28,客户信息表!A$3:H$23,2,0)</f>
        <v>重庆山城办公设备</v>
      </c>
      <c r="F28" s="4" t="s">
        <v>66</v>
      </c>
      <c r="G28" s="4" t="str">
        <f>INDEX(客户信息表!$A$4:$H$23,MATCH(F28,客户信息表!$B$4:$B$23,0),1)</f>
        <v>KH011</v>
      </c>
      <c r="H28" s="4" t="str">
        <f>_xlfn.XLOOKUP(O28,产品信息表!$A$4:$A$15,产品信息表!$C$4:$C$15)</f>
        <v>办公耗材</v>
      </c>
      <c r="I28" s="30">
        <f>DATE(MID(A28,4,4),MID(A28,8,2),MID(A28,10,2))</f>
        <v>46059</v>
      </c>
      <c r="J28" s="4" t="str">
        <f t="shared" si="1"/>
        <v>0025</v>
      </c>
      <c r="K28" s="4" t="str">
        <f>VLOOKUP(D28,客户信息表!$A$3:$H$23,5,0)</f>
        <v>B</v>
      </c>
      <c r="L28" s="2" t="s">
        <v>18</v>
      </c>
      <c r="M28" s="2" t="s">
        <v>68</v>
      </c>
      <c r="N28" s="2" t="str">
        <f t="shared" si="2"/>
        <v>西南</v>
      </c>
      <c r="O28" s="2" t="s">
        <v>73</v>
      </c>
      <c r="P28" s="4" t="s">
        <v>74</v>
      </c>
      <c r="Q28" s="5">
        <v>385</v>
      </c>
      <c r="R28" s="2">
        <v>26</v>
      </c>
      <c r="S28" s="2">
        <f t="shared" si="3"/>
        <v>26</v>
      </c>
      <c r="T28" s="2">
        <f>VLOOKUP(S28,折扣阶梯!$A$3:$C$7,2,TRUE)</f>
        <v>0.95</v>
      </c>
      <c r="U28" s="5">
        <v>10010</v>
      </c>
      <c r="V28" s="5">
        <f t="shared" si="4"/>
        <v>10010</v>
      </c>
      <c r="W28" s="2" t="s">
        <v>89</v>
      </c>
      <c r="X28">
        <f t="shared" si="5"/>
        <v>9509.5</v>
      </c>
      <c r="Y28">
        <f>_xlfn.XLOOKUP(O28,产品信息表!$A$4:$A$15,产品信息表!$E$4:$E$15)</f>
        <v>260</v>
      </c>
      <c r="Z28" s="31">
        <f t="shared" si="6"/>
        <v>0.28913192071086807</v>
      </c>
      <c r="AA28">
        <f t="shared" si="7"/>
        <v>94</v>
      </c>
    </row>
    <row r="29" spans="1:27" ht="14.5">
      <c r="A29" s="6" t="s">
        <v>111</v>
      </c>
      <c r="B29" s="7">
        <v>46061</v>
      </c>
      <c r="C29" s="3" t="str">
        <f t="shared" si="0"/>
        <v>2026-02-08</v>
      </c>
      <c r="D29" s="6" t="s">
        <v>16</v>
      </c>
      <c r="E29" s="2" t="str">
        <f>VLOOKUP(D29,客户信息表!A$3:H$23,2,0)</f>
        <v>上海锦程贸易</v>
      </c>
      <c r="F29" s="8" t="s">
        <v>17</v>
      </c>
      <c r="G29" s="4" t="str">
        <f>INDEX(客户信息表!$A$4:$H$23,MATCH(F29,客户信息表!$B$4:$B$23,0),1)</f>
        <v>KH002</v>
      </c>
      <c r="H29" s="4" t="str">
        <f>_xlfn.XLOOKUP(O29,产品信息表!$A$4:$A$15,产品信息表!$C$4:$C$15)</f>
        <v>电子数码</v>
      </c>
      <c r="I29" s="30">
        <f>DATE(MID(A29,4,4),MID(A29,8,2),MID(A29,10,2))</f>
        <v>46061</v>
      </c>
      <c r="J29" s="4" t="str">
        <f t="shared" si="1"/>
        <v>0026</v>
      </c>
      <c r="K29" s="4" t="str">
        <f>VLOOKUP(D29,客户信息表!$A$3:$H$23,5,0)</f>
        <v>B</v>
      </c>
      <c r="L29" s="6" t="s">
        <v>78</v>
      </c>
      <c r="M29" s="6" t="s">
        <v>19</v>
      </c>
      <c r="N29" s="2" t="str">
        <f t="shared" si="2"/>
        <v>华东</v>
      </c>
      <c r="O29" s="6" t="s">
        <v>20</v>
      </c>
      <c r="P29" s="8" t="s">
        <v>21</v>
      </c>
      <c r="Q29" s="9">
        <v>299</v>
      </c>
      <c r="R29" s="6">
        <v>2</v>
      </c>
      <c r="S29" s="2">
        <f t="shared" si="3"/>
        <v>2</v>
      </c>
      <c r="T29" s="2">
        <f>VLOOKUP(S29,折扣阶梯!$A$3:$C$7,2,TRUE)</f>
        <v>1</v>
      </c>
      <c r="U29" s="9">
        <v>598</v>
      </c>
      <c r="V29" s="5">
        <f t="shared" si="4"/>
        <v>598</v>
      </c>
      <c r="W29" s="6" t="s">
        <v>22</v>
      </c>
      <c r="X29">
        <f t="shared" si="5"/>
        <v>598</v>
      </c>
      <c r="Y29">
        <f>_xlfn.XLOOKUP(O29,产品信息表!$A$4:$A$15,产品信息表!$E$4:$E$15)</f>
        <v>190</v>
      </c>
      <c r="Z29" s="31">
        <f t="shared" si="6"/>
        <v>0.36454849498327757</v>
      </c>
      <c r="AA29">
        <f t="shared" si="7"/>
        <v>173</v>
      </c>
    </row>
    <row r="30" spans="1:27" ht="14.5">
      <c r="A30" s="2" t="s">
        <v>112</v>
      </c>
      <c r="B30" s="3">
        <v>46069</v>
      </c>
      <c r="C30" s="3" t="str">
        <f t="shared" si="0"/>
        <v>2026-02-16</v>
      </c>
      <c r="D30" s="2" t="s">
        <v>113</v>
      </c>
      <c r="E30" s="2" t="str">
        <f>VLOOKUP(D30,客户信息表!A$3:H$23,2,0)</f>
        <v>宁波海港实业</v>
      </c>
      <c r="F30" s="4" t="s">
        <v>114</v>
      </c>
      <c r="G30" s="4" t="str">
        <f>INDEX(客户信息表!$A$4:$H$23,MATCH(F30,客户信息表!$B$4:$B$23,0),1)</f>
        <v>KH014</v>
      </c>
      <c r="H30" s="4" t="str">
        <f>_xlfn.XLOOKUP(O30,产品信息表!$A$4:$A$15,产品信息表!$C$4:$C$15)</f>
        <v>电子数码</v>
      </c>
      <c r="I30" s="30">
        <f>DATE(MID(A30,4,4),MID(A30,8,2),MID(A30,10,2))</f>
        <v>46069</v>
      </c>
      <c r="J30" s="4" t="str">
        <f t="shared" si="1"/>
        <v>0027</v>
      </c>
      <c r="K30" s="4" t="str">
        <f>VLOOKUP(D30,客户信息表!$A$3:$H$23,5,0)</f>
        <v>B</v>
      </c>
      <c r="L30" s="2" t="s">
        <v>18</v>
      </c>
      <c r="M30" s="2" t="s">
        <v>115</v>
      </c>
      <c r="N30" s="2" t="str">
        <f t="shared" si="2"/>
        <v>华东</v>
      </c>
      <c r="O30" s="2" t="s">
        <v>91</v>
      </c>
      <c r="P30" s="4" t="s">
        <v>102</v>
      </c>
      <c r="Q30" s="5">
        <v>5699</v>
      </c>
      <c r="R30" s="2">
        <v>11</v>
      </c>
      <c r="S30" s="2">
        <f t="shared" si="3"/>
        <v>11</v>
      </c>
      <c r="T30" s="2">
        <f>VLOOKUP(S30,折扣阶梯!$A$3:$C$7,2,TRUE)</f>
        <v>0.95</v>
      </c>
      <c r="U30" s="10" t="s">
        <v>116</v>
      </c>
      <c r="V30" s="5">
        <f t="shared" si="4"/>
        <v>62689</v>
      </c>
      <c r="W30" s="2" t="s">
        <v>50</v>
      </c>
      <c r="X30">
        <f t="shared" si="5"/>
        <v>59554.549999999996</v>
      </c>
      <c r="Y30">
        <f>_xlfn.XLOOKUP(O30,产品信息表!$A$4:$A$15,产品信息表!$E$4:$E$15)</f>
        <v>4800</v>
      </c>
      <c r="Z30" s="31">
        <f t="shared" si="6"/>
        <v>0.11341786647703653</v>
      </c>
      <c r="AA30">
        <f t="shared" si="7"/>
        <v>4</v>
      </c>
    </row>
    <row r="31" spans="1:27" ht="14.5">
      <c r="A31" s="6" t="s">
        <v>117</v>
      </c>
      <c r="B31" s="6" t="s">
        <v>420</v>
      </c>
      <c r="C31" s="3" t="str">
        <f t="shared" si="0"/>
        <v>2026-02-21</v>
      </c>
      <c r="D31" s="6" t="s">
        <v>60</v>
      </c>
      <c r="E31" s="2" t="str">
        <f>VLOOKUP(D31,客户信息表!A$3:H$23,2,0)</f>
        <v>杭州云图信息</v>
      </c>
      <c r="F31" s="8" t="s">
        <v>61</v>
      </c>
      <c r="G31" s="4" t="str">
        <f>INDEX(客户信息表!$A$4:$H$23,MATCH(F31,客户信息表!$B$4:$B$23,0),1)</f>
        <v>KH005</v>
      </c>
      <c r="H31" s="4" t="str">
        <f>_xlfn.XLOOKUP(O31,产品信息表!$A$4:$A$15,产品信息表!$C$4:$C$15)</f>
        <v>软件服务</v>
      </c>
      <c r="I31" s="30">
        <f>DATE(MID(A31,4,4),MID(A31,8,2),MID(A31,10,2))</f>
        <v>46074</v>
      </c>
      <c r="J31" s="4" t="str">
        <f t="shared" si="1"/>
        <v>0028</v>
      </c>
      <c r="K31" s="4" t="str">
        <f>VLOOKUP(D31,客户信息表!$A$3:$H$23,5,0)</f>
        <v>A</v>
      </c>
      <c r="L31" s="6" t="s">
        <v>55</v>
      </c>
      <c r="M31" s="6" t="s">
        <v>19</v>
      </c>
      <c r="N31" s="2" t="str">
        <f t="shared" si="2"/>
        <v>华东</v>
      </c>
      <c r="O31" s="6" t="s">
        <v>12</v>
      </c>
      <c r="P31" s="8" t="s">
        <v>13</v>
      </c>
      <c r="Q31" s="9">
        <v>699</v>
      </c>
      <c r="R31" s="6">
        <v>20</v>
      </c>
      <c r="S31" s="2">
        <f t="shared" si="3"/>
        <v>20</v>
      </c>
      <c r="T31" s="2">
        <f>VLOOKUP(S31,折扣阶梯!$A$3:$C$7,2,TRUE)</f>
        <v>0.95</v>
      </c>
      <c r="U31" s="9">
        <v>13980</v>
      </c>
      <c r="V31" s="5">
        <f t="shared" si="4"/>
        <v>13980</v>
      </c>
      <c r="W31" s="6" t="s">
        <v>50</v>
      </c>
      <c r="X31">
        <f t="shared" si="5"/>
        <v>13281</v>
      </c>
      <c r="Y31">
        <f>_xlfn.XLOOKUP(O31,产品信息表!$A$4:$A$15,产品信息表!$E$4:$E$15)</f>
        <v>300</v>
      </c>
      <c r="Z31" s="31">
        <f t="shared" si="6"/>
        <v>0.54822679015134401</v>
      </c>
      <c r="AA31">
        <f t="shared" si="7"/>
        <v>76</v>
      </c>
    </row>
    <row r="32" spans="1:27" ht="14.5">
      <c r="A32" s="2" t="s">
        <v>118</v>
      </c>
      <c r="B32" s="3">
        <v>46074</v>
      </c>
      <c r="C32" s="3" t="str">
        <f t="shared" si="0"/>
        <v>2026-02-21</v>
      </c>
      <c r="D32" s="2" t="s">
        <v>60</v>
      </c>
      <c r="E32" s="2" t="str">
        <f>VLOOKUP(D32,客户信息表!A$3:H$23,2,0)</f>
        <v>杭州云图信息</v>
      </c>
      <c r="F32" s="4" t="s">
        <v>61</v>
      </c>
      <c r="G32" s="4" t="str">
        <f>INDEX(客户信息表!$A$4:$H$23,MATCH(F32,客户信息表!$B$4:$B$23,0),1)</f>
        <v>KH005</v>
      </c>
      <c r="H32" s="4" t="str">
        <f>_xlfn.XLOOKUP(O32,产品信息表!$A$4:$A$15,产品信息表!$C$4:$C$15)</f>
        <v>办公设备</v>
      </c>
      <c r="I32" s="30">
        <f>DATE(MID(A32,4,4),MID(A32,8,2),MID(A32,10,2))</f>
        <v>46074</v>
      </c>
      <c r="J32" s="4" t="str">
        <f t="shared" si="1"/>
        <v>0029</v>
      </c>
      <c r="K32" s="4" t="str">
        <f>VLOOKUP(D32,客户信息表!$A$3:$H$23,5,0)</f>
        <v>A</v>
      </c>
      <c r="L32" s="2" t="s">
        <v>44</v>
      </c>
      <c r="M32" s="2" t="s">
        <v>19</v>
      </c>
      <c r="N32" s="2" t="str">
        <f t="shared" si="2"/>
        <v>华东</v>
      </c>
      <c r="O32" s="2" t="s">
        <v>81</v>
      </c>
      <c r="P32" s="4" t="s">
        <v>82</v>
      </c>
      <c r="Q32" s="5">
        <v>2499</v>
      </c>
      <c r="R32" s="2">
        <v>5</v>
      </c>
      <c r="S32" s="2">
        <f t="shared" si="3"/>
        <v>5</v>
      </c>
      <c r="T32" s="2">
        <f>VLOOKUP(S32,折扣阶梯!$A$3:$C$7,2,TRUE)</f>
        <v>1</v>
      </c>
      <c r="U32" s="5">
        <v>12495</v>
      </c>
      <c r="V32" s="5">
        <f t="shared" si="4"/>
        <v>12495</v>
      </c>
      <c r="W32" s="2" t="s">
        <v>14</v>
      </c>
      <c r="X32">
        <f t="shared" si="5"/>
        <v>12495</v>
      </c>
      <c r="Y32">
        <f>_xlfn.XLOOKUP(O32,产品信息表!$A$4:$A$15,产品信息表!$E$4:$E$15)</f>
        <v>1850</v>
      </c>
      <c r="Z32" s="31">
        <f t="shared" si="6"/>
        <v>0.25970388155262103</v>
      </c>
      <c r="AA32">
        <f t="shared" si="7"/>
        <v>83</v>
      </c>
    </row>
    <row r="33" spans="1:27" ht="14.5">
      <c r="A33" s="6" t="s">
        <v>119</v>
      </c>
      <c r="B33" s="7">
        <v>46154</v>
      </c>
      <c r="C33" s="3" t="str">
        <f t="shared" si="0"/>
        <v>2026-05-12</v>
      </c>
      <c r="D33" s="6" t="s">
        <v>113</v>
      </c>
      <c r="E33" s="2" t="str">
        <f>VLOOKUP(D33,客户信息表!A$3:H$23,2,0)</f>
        <v>宁波海港实业</v>
      </c>
      <c r="F33" s="8" t="s">
        <v>114</v>
      </c>
      <c r="G33" s="4" t="str">
        <f>INDEX(客户信息表!$A$4:$H$23,MATCH(F33,客户信息表!$B$4:$B$23,0),1)</f>
        <v>KH014</v>
      </c>
      <c r="H33" s="4" t="str">
        <f>_xlfn.XLOOKUP(O33,产品信息表!$A$4:$A$15,产品信息表!$C$4:$C$15)</f>
        <v>电子数码</v>
      </c>
      <c r="I33" s="30">
        <f>DATE(MID(A33,4,4),MID(A33,8,2),MID(A33,10,2))</f>
        <v>46154</v>
      </c>
      <c r="J33" s="4" t="str">
        <f t="shared" si="1"/>
        <v>0102</v>
      </c>
      <c r="K33" s="4" t="str">
        <f>VLOOKUP(D33,客户信息表!$A$3:$H$23,5,0)</f>
        <v>B</v>
      </c>
      <c r="L33" s="6" t="s">
        <v>37</v>
      </c>
      <c r="M33" s="6" t="s">
        <v>19</v>
      </c>
      <c r="N33" s="2" t="str">
        <f t="shared" si="2"/>
        <v>华东</v>
      </c>
      <c r="O33" s="6" t="s">
        <v>91</v>
      </c>
      <c r="P33" s="8" t="s">
        <v>102</v>
      </c>
      <c r="Q33" s="9">
        <v>5699</v>
      </c>
      <c r="R33" s="6">
        <v>13</v>
      </c>
      <c r="S33" s="2">
        <f t="shared" si="3"/>
        <v>13</v>
      </c>
      <c r="T33" s="2">
        <f>VLOOKUP(S33,折扣阶梯!$A$3:$C$7,2,TRUE)</f>
        <v>0.95</v>
      </c>
      <c r="U33" s="9">
        <v>74087</v>
      </c>
      <c r="V33" s="5">
        <f t="shared" si="4"/>
        <v>74087</v>
      </c>
      <c r="W33" s="6" t="s">
        <v>22</v>
      </c>
      <c r="X33">
        <f t="shared" si="5"/>
        <v>70382.649999999994</v>
      </c>
      <c r="Y33">
        <f>_xlfn.XLOOKUP(O33,产品信息表!$A$4:$A$15,产品信息表!$E$4:$E$15)</f>
        <v>4800</v>
      </c>
      <c r="Z33" s="31">
        <f t="shared" si="6"/>
        <v>0.11341786647703653</v>
      </c>
      <c r="AA33">
        <f t="shared" si="7"/>
        <v>1</v>
      </c>
    </row>
    <row r="34" spans="1:27" ht="14.5">
      <c r="A34" s="2" t="s">
        <v>120</v>
      </c>
      <c r="B34" s="3">
        <v>46076</v>
      </c>
      <c r="C34" s="3" t="str">
        <f t="shared" si="0"/>
        <v>2026-02-23</v>
      </c>
      <c r="D34" s="2" t="s">
        <v>76</v>
      </c>
      <c r="E34" s="2" t="str">
        <f>VLOOKUP(D34,客户信息表!A$3:H$23,2,0)</f>
        <v>北京华信科技</v>
      </c>
      <c r="F34" s="4" t="s">
        <v>77</v>
      </c>
      <c r="G34" s="4" t="str">
        <f>INDEX(客户信息表!$A$4:$H$23,MATCH(F34,客户信息表!$B$4:$B$23,0),1)</f>
        <v>KH001</v>
      </c>
      <c r="H34" s="4" t="str">
        <f>_xlfn.XLOOKUP(O34,产品信息表!$A$4:$A$15,产品信息表!$C$4:$C$15)</f>
        <v>电子数码</v>
      </c>
      <c r="I34" s="30">
        <f>DATE(MID(A34,4,4),MID(A34,8,2),MID(A34,10,2))</f>
        <v>46076</v>
      </c>
      <c r="J34" s="4" t="str">
        <f t="shared" si="1"/>
        <v>0030</v>
      </c>
      <c r="K34" s="4" t="str">
        <f>VLOOKUP(D34,客户信息表!$A$3:$H$23,5,0)</f>
        <v>A</v>
      </c>
      <c r="L34" s="2" t="s">
        <v>18</v>
      </c>
      <c r="M34" s="2" t="s">
        <v>38</v>
      </c>
      <c r="N34" s="2" t="str">
        <f t="shared" si="2"/>
        <v>华北</v>
      </c>
      <c r="O34" s="2" t="s">
        <v>91</v>
      </c>
      <c r="P34" s="4" t="s">
        <v>102</v>
      </c>
      <c r="Q34" s="5">
        <v>5699</v>
      </c>
      <c r="R34" s="2" t="s">
        <v>121</v>
      </c>
      <c r="S34" s="2">
        <f t="shared" si="3"/>
        <v>5</v>
      </c>
      <c r="T34" s="2">
        <f>VLOOKUP(S34,折扣阶梯!$A$3:$C$7,2,TRUE)</f>
        <v>1</v>
      </c>
      <c r="U34" s="5">
        <v>28495</v>
      </c>
      <c r="V34" s="5">
        <f t="shared" si="4"/>
        <v>28495</v>
      </c>
      <c r="W34" s="2" t="s">
        <v>50</v>
      </c>
      <c r="X34">
        <f t="shared" si="5"/>
        <v>28495</v>
      </c>
      <c r="Y34">
        <f>_xlfn.XLOOKUP(O34,产品信息表!$A$4:$A$15,产品信息表!$E$4:$E$15)</f>
        <v>4800</v>
      </c>
      <c r="Z34" s="31">
        <f t="shared" si="6"/>
        <v>0.15774697315318478</v>
      </c>
      <c r="AA34">
        <f t="shared" si="7"/>
        <v>23</v>
      </c>
    </row>
    <row r="35" spans="1:27" ht="14.5">
      <c r="A35" s="6" t="s">
        <v>122</v>
      </c>
      <c r="B35" s="7">
        <v>46080</v>
      </c>
      <c r="C35" s="3" t="str">
        <f t="shared" si="0"/>
        <v>2026-02-27</v>
      </c>
      <c r="D35" s="6" t="s">
        <v>65</v>
      </c>
      <c r="E35" s="2" t="str">
        <f>VLOOKUP(D35,客户信息表!A$3:H$23,2,0)</f>
        <v>重庆山城办公设备</v>
      </c>
      <c r="F35" s="8" t="s">
        <v>66</v>
      </c>
      <c r="G35" s="4" t="str">
        <f>INDEX(客户信息表!$A$4:$H$23,MATCH(F35,客户信息表!$B$4:$B$23,0),1)</f>
        <v>KH011</v>
      </c>
      <c r="H35" s="4" t="str">
        <f>_xlfn.XLOOKUP(O35,产品信息表!$A$4:$A$15,产品信息表!$C$4:$C$15)</f>
        <v>软件服务</v>
      </c>
      <c r="I35" s="30">
        <f>DATE(MID(A35,4,4),MID(A35,8,2),MID(A35,10,2))</f>
        <v>46080</v>
      </c>
      <c r="J35" s="4" t="str">
        <f t="shared" si="1"/>
        <v>0031</v>
      </c>
      <c r="K35" s="4" t="str">
        <f>VLOOKUP(D35,客户信息表!$A$3:$H$23,5,0)</f>
        <v>B</v>
      </c>
      <c r="L35" s="6" t="s">
        <v>55</v>
      </c>
      <c r="M35" s="6" t="s">
        <v>68</v>
      </c>
      <c r="N35" s="2" t="str">
        <f t="shared" si="2"/>
        <v>西南</v>
      </c>
      <c r="O35" s="6" t="s">
        <v>57</v>
      </c>
      <c r="P35" s="8" t="s">
        <v>123</v>
      </c>
      <c r="Q35" s="9">
        <v>599</v>
      </c>
      <c r="R35" s="6">
        <v>24</v>
      </c>
      <c r="S35" s="2">
        <f t="shared" si="3"/>
        <v>24</v>
      </c>
      <c r="T35" s="2">
        <f>VLOOKUP(S35,折扣阶梯!$A$3:$C$7,2,TRUE)</f>
        <v>0.95</v>
      </c>
      <c r="U35" s="9">
        <v>14376</v>
      </c>
      <c r="V35" s="5">
        <f t="shared" si="4"/>
        <v>14376</v>
      </c>
      <c r="W35" s="6" t="s">
        <v>22</v>
      </c>
      <c r="X35">
        <f t="shared" si="5"/>
        <v>13657.199999999999</v>
      </c>
      <c r="Y35">
        <f>_xlfn.XLOOKUP(O35,产品信息表!$A$4:$A$15,产品信息表!$E$4:$E$15)</f>
        <v>250</v>
      </c>
      <c r="Z35" s="31">
        <f t="shared" si="6"/>
        <v>0.56067129426236706</v>
      </c>
      <c r="AA35">
        <f t="shared" si="7"/>
        <v>71</v>
      </c>
    </row>
    <row r="36" spans="1:27" ht="14.5">
      <c r="A36" s="2" t="s">
        <v>124</v>
      </c>
      <c r="B36" s="3">
        <v>46089</v>
      </c>
      <c r="C36" s="3" t="str">
        <f t="shared" si="0"/>
        <v>2026-03-08</v>
      </c>
      <c r="D36" s="2" t="s">
        <v>125</v>
      </c>
      <c r="E36" s="2" t="str">
        <f>VLOOKUP(D36,客户信息表!A$3:H$23,2,0)</f>
        <v>南京紫金山软件园运营</v>
      </c>
      <c r="F36" s="4" t="s">
        <v>126</v>
      </c>
      <c r="G36" s="4" t="str">
        <f>INDEX(客户信息表!$A$4:$H$23,MATCH(F36,客户信息表!$B$4:$B$23,0),1)</f>
        <v>KH008</v>
      </c>
      <c r="H36" s="4" t="str">
        <f>_xlfn.XLOOKUP(O36,产品信息表!$A$4:$A$15,产品信息表!$C$4:$C$15)</f>
        <v>办公耗材</v>
      </c>
      <c r="I36" s="30">
        <f>DATE(MID(A36,4,4),MID(A36,8,2),MID(A36,10,2))</f>
        <v>46089</v>
      </c>
      <c r="J36" s="4" t="str">
        <f t="shared" si="1"/>
        <v>0037</v>
      </c>
      <c r="K36" s="4" t="str">
        <f>VLOOKUP(D36,客户信息表!$A$3:$H$23,5,0)</f>
        <v>C</v>
      </c>
      <c r="L36" s="2" t="s">
        <v>55</v>
      </c>
      <c r="M36" s="2" t="s">
        <v>19</v>
      </c>
      <c r="N36" s="2" t="str">
        <f t="shared" si="2"/>
        <v>华东</v>
      </c>
      <c r="O36" s="2" t="s">
        <v>39</v>
      </c>
      <c r="P36" s="4" t="s">
        <v>40</v>
      </c>
      <c r="Q36" s="5">
        <v>128</v>
      </c>
      <c r="R36" s="2">
        <v>12</v>
      </c>
      <c r="S36" s="2">
        <f t="shared" si="3"/>
        <v>12</v>
      </c>
      <c r="T36" s="2">
        <f>VLOOKUP(S36,折扣阶梯!$A$3:$C$7,2,TRUE)</f>
        <v>0.95</v>
      </c>
      <c r="U36" s="5">
        <v>1536</v>
      </c>
      <c r="V36" s="5">
        <f t="shared" si="4"/>
        <v>1536</v>
      </c>
      <c r="W36" s="2" t="s">
        <v>50</v>
      </c>
      <c r="X36">
        <f t="shared" si="5"/>
        <v>1459.1999999999998</v>
      </c>
      <c r="Y36">
        <f>_xlfn.XLOOKUP(O36,产品信息表!$A$4:$A$15,产品信息表!$E$4:$E$15)</f>
        <v>95</v>
      </c>
      <c r="Z36" s="31">
        <f t="shared" si="6"/>
        <v>0.21874999999999989</v>
      </c>
      <c r="AA36">
        <f t="shared" si="7"/>
        <v>158</v>
      </c>
    </row>
    <row r="37" spans="1:27" ht="14.5">
      <c r="A37" s="6" t="s">
        <v>127</v>
      </c>
      <c r="B37" s="6" t="s">
        <v>128</v>
      </c>
      <c r="C37" s="3" t="str">
        <f t="shared" si="0"/>
        <v>2026-02-27</v>
      </c>
      <c r="D37" s="6" t="s">
        <v>31</v>
      </c>
      <c r="E37" s="2" t="str">
        <f>VLOOKUP(D37,客户信息表!A$3:H$23,2,0)</f>
        <v>长沙麓山科技</v>
      </c>
      <c r="F37" s="8" t="s">
        <v>32</v>
      </c>
      <c r="G37" s="4" t="str">
        <f>INDEX(客户信息表!$A$4:$H$23,MATCH(F37,客户信息表!$B$4:$B$23,0),1)</f>
        <v>KH012</v>
      </c>
      <c r="H37" s="4" t="str">
        <f>_xlfn.XLOOKUP(O37,产品信息表!$A$4:$A$15,产品信息表!$C$4:$C$15)</f>
        <v>办公耗材</v>
      </c>
      <c r="I37" s="30">
        <f>DATE(MID(A37,4,4),MID(A37,8,2),MID(A37,10,2))</f>
        <v>46080</v>
      </c>
      <c r="J37" s="4" t="str">
        <f t="shared" si="1"/>
        <v>0032</v>
      </c>
      <c r="K37" s="4" t="str">
        <f>VLOOKUP(D37,客户信息表!$A$3:$H$23,5,0)</f>
        <v>B</v>
      </c>
      <c r="L37" s="6" t="s">
        <v>78</v>
      </c>
      <c r="M37" s="6" t="s">
        <v>45</v>
      </c>
      <c r="N37" s="2" t="str">
        <f t="shared" si="2"/>
        <v>华中</v>
      </c>
      <c r="O37" s="6" t="s">
        <v>73</v>
      </c>
      <c r="P37" s="8" t="s">
        <v>74</v>
      </c>
      <c r="Q37" s="9">
        <v>385</v>
      </c>
      <c r="R37" s="6">
        <v>88</v>
      </c>
      <c r="S37" s="2">
        <f t="shared" si="3"/>
        <v>88</v>
      </c>
      <c r="T37" s="2">
        <f>VLOOKUP(S37,折扣阶梯!$A$3:$C$7,2,TRUE)</f>
        <v>0.9</v>
      </c>
      <c r="U37" s="9">
        <v>33880</v>
      </c>
      <c r="V37" s="5">
        <f t="shared" si="4"/>
        <v>33880</v>
      </c>
      <c r="W37" s="6" t="s">
        <v>14</v>
      </c>
      <c r="X37">
        <f t="shared" si="5"/>
        <v>30492</v>
      </c>
      <c r="Y37">
        <f>_xlfn.XLOOKUP(O37,产品信息表!$A$4:$A$15,产品信息表!$E$4:$E$15)</f>
        <v>260</v>
      </c>
      <c r="Z37" s="31">
        <f t="shared" si="6"/>
        <v>0.24963924963924963</v>
      </c>
      <c r="AA37">
        <f t="shared" si="7"/>
        <v>19</v>
      </c>
    </row>
    <row r="38" spans="1:27" ht="14.5">
      <c r="A38" s="2" t="s">
        <v>129</v>
      </c>
      <c r="B38" s="3">
        <v>46081</v>
      </c>
      <c r="C38" s="3" t="str">
        <f t="shared" si="0"/>
        <v>2026-02-28</v>
      </c>
      <c r="D38" s="2" t="s">
        <v>60</v>
      </c>
      <c r="E38" s="2" t="str">
        <f>VLOOKUP(D38,客户信息表!A$3:H$23,2,0)</f>
        <v>杭州云图信息</v>
      </c>
      <c r="F38" s="4" t="s">
        <v>61</v>
      </c>
      <c r="G38" s="4" t="str">
        <f>INDEX(客户信息表!$A$4:$H$23,MATCH(F38,客户信息表!$B$4:$B$23,0),1)</f>
        <v>KH005</v>
      </c>
      <c r="H38" s="4" t="str">
        <f>_xlfn.XLOOKUP(O38,产品信息表!$A$4:$A$15,产品信息表!$C$4:$C$15)</f>
        <v>电子数码</v>
      </c>
      <c r="I38" s="30">
        <f>DATE(MID(A38,4,4),MID(A38,8,2),MID(A38,10,2))</f>
        <v>46081</v>
      </c>
      <c r="J38" s="4" t="str">
        <f t="shared" si="1"/>
        <v>0033</v>
      </c>
      <c r="K38" s="4" t="str">
        <f>VLOOKUP(D38,客户信息表!$A$3:$H$23,5,0)</f>
        <v>A</v>
      </c>
      <c r="L38" s="2" t="s">
        <v>44</v>
      </c>
      <c r="M38" s="2" t="s">
        <v>115</v>
      </c>
      <c r="N38" s="2" t="str">
        <f t="shared" si="2"/>
        <v>华东</v>
      </c>
      <c r="O38" s="2" t="s">
        <v>91</v>
      </c>
      <c r="P38" s="4" t="s">
        <v>102</v>
      </c>
      <c r="Q38" s="5">
        <v>5699</v>
      </c>
      <c r="R38" s="2">
        <v>8</v>
      </c>
      <c r="S38" s="2">
        <f t="shared" si="3"/>
        <v>8</v>
      </c>
      <c r="T38" s="2">
        <f>VLOOKUP(S38,折扣阶梯!$A$3:$C$7,2,TRUE)</f>
        <v>1</v>
      </c>
      <c r="U38" s="10" t="s">
        <v>130</v>
      </c>
      <c r="V38" s="5">
        <f t="shared" si="4"/>
        <v>45592</v>
      </c>
      <c r="W38" s="2" t="s">
        <v>14</v>
      </c>
      <c r="X38">
        <f t="shared" si="5"/>
        <v>45592</v>
      </c>
      <c r="Y38">
        <f>_xlfn.XLOOKUP(O38,产品信息表!$A$4:$A$15,产品信息表!$E$4:$E$15)</f>
        <v>4800</v>
      </c>
      <c r="Z38" s="31">
        <f t="shared" si="6"/>
        <v>0.15774697315318478</v>
      </c>
      <c r="AA38">
        <f t="shared" si="7"/>
        <v>8</v>
      </c>
    </row>
    <row r="39" spans="1:27" ht="14.5">
      <c r="A39" s="6" t="s">
        <v>131</v>
      </c>
      <c r="B39" s="7">
        <v>46084</v>
      </c>
      <c r="C39" s="3" t="str">
        <f t="shared" si="0"/>
        <v>2026-03-03</v>
      </c>
      <c r="D39" s="6" t="s">
        <v>42</v>
      </c>
      <c r="E39" s="2" t="str">
        <f>VLOOKUP(D39,客户信息表!A$3:H$23,2,0)</f>
        <v>郑州中原物流</v>
      </c>
      <c r="F39" s="8" t="s">
        <v>43</v>
      </c>
      <c r="G39" s="4" t="str">
        <f>INDEX(客户信息表!$A$4:$H$23,MATCH(F39,客户信息表!$B$4:$B$23,0),1)</f>
        <v>KH017</v>
      </c>
      <c r="H39" s="4" t="str">
        <f>_xlfn.XLOOKUP(O39,产品信息表!$A$4:$A$15,产品信息表!$C$4:$C$15)</f>
        <v>办公耗材</v>
      </c>
      <c r="I39" s="30">
        <f>DATE(MID(A39,4,4),MID(A39,8,2),MID(A39,10,2))</f>
        <v>46084</v>
      </c>
      <c r="J39" s="4" t="str">
        <f t="shared" si="1"/>
        <v>0034</v>
      </c>
      <c r="K39" s="4" t="str">
        <f>VLOOKUP(D39,客户信息表!$A$3:$H$23,5,0)</f>
        <v>B</v>
      </c>
      <c r="L39" s="6" t="s">
        <v>24</v>
      </c>
      <c r="M39" s="6" t="s">
        <v>45</v>
      </c>
      <c r="N39" s="2" t="str">
        <f t="shared" si="2"/>
        <v>华中</v>
      </c>
      <c r="O39" s="6" t="s">
        <v>73</v>
      </c>
      <c r="P39" s="8" t="s">
        <v>74</v>
      </c>
      <c r="Q39" s="9">
        <v>385</v>
      </c>
      <c r="R39" s="6">
        <v>120</v>
      </c>
      <c r="S39" s="2">
        <f t="shared" si="3"/>
        <v>120</v>
      </c>
      <c r="T39" s="2">
        <f>VLOOKUP(S39,折扣阶梯!$A$3:$C$7,2,TRUE)</f>
        <v>0.85</v>
      </c>
      <c r="U39" s="9">
        <v>46200</v>
      </c>
      <c r="V39" s="5">
        <f t="shared" si="4"/>
        <v>46200</v>
      </c>
      <c r="W39" s="6" t="s">
        <v>50</v>
      </c>
      <c r="X39">
        <f t="shared" si="5"/>
        <v>39270</v>
      </c>
      <c r="Y39">
        <f>_xlfn.XLOOKUP(O39,产品信息表!$A$4:$A$15,产品信息表!$E$4:$E$15)</f>
        <v>260</v>
      </c>
      <c r="Z39" s="31">
        <f t="shared" si="6"/>
        <v>0.2055003819709702</v>
      </c>
      <c r="AA39">
        <f t="shared" si="7"/>
        <v>7</v>
      </c>
    </row>
    <row r="40" spans="1:27" ht="14.5">
      <c r="A40" s="2" t="s">
        <v>132</v>
      </c>
      <c r="B40" s="3">
        <v>46087</v>
      </c>
      <c r="C40" s="3" t="str">
        <f t="shared" si="0"/>
        <v>2026-03-06</v>
      </c>
      <c r="D40" s="2" t="s">
        <v>35</v>
      </c>
      <c r="E40" s="2" t="str">
        <f>VLOOKUP(D40,客户信息表!A$3:H$23,2,0)</f>
        <v>北京中关新材</v>
      </c>
      <c r="F40" s="4" t="s">
        <v>36</v>
      </c>
      <c r="G40" s="4" t="str">
        <f>INDEX(客户信息表!$A$4:$H$23,MATCH(F40,客户信息表!$B$4:$B$23,0),1)</f>
        <v>KH019</v>
      </c>
      <c r="H40" s="4" t="str">
        <f>_xlfn.XLOOKUP(O40,产品信息表!$A$4:$A$15,产品信息表!$C$4:$C$15)</f>
        <v>电子数码</v>
      </c>
      <c r="I40" s="30">
        <f>DATE(MID(A40,4,4),MID(A40,8,2),MID(A40,10,2))</f>
        <v>46087</v>
      </c>
      <c r="J40" s="4" t="str">
        <f t="shared" si="1"/>
        <v>0035</v>
      </c>
      <c r="K40" s="4" t="str">
        <f>VLOOKUP(D40,客户信息表!$A$3:$H$23,5,0)</f>
        <v>B</v>
      </c>
      <c r="L40" s="2" t="s">
        <v>44</v>
      </c>
      <c r="M40" s="2" t="s">
        <v>38</v>
      </c>
      <c r="N40" s="2" t="str">
        <f t="shared" si="2"/>
        <v>华北</v>
      </c>
      <c r="O40" s="2" t="s">
        <v>62</v>
      </c>
      <c r="P40" s="4" t="s">
        <v>63</v>
      </c>
      <c r="Q40" s="5">
        <v>1299</v>
      </c>
      <c r="R40" s="2">
        <v>12</v>
      </c>
      <c r="S40" s="2">
        <f t="shared" si="3"/>
        <v>12</v>
      </c>
      <c r="T40" s="2">
        <f>VLOOKUP(S40,折扣阶梯!$A$3:$C$7,2,TRUE)</f>
        <v>0.95</v>
      </c>
      <c r="U40" s="5">
        <v>15588</v>
      </c>
      <c r="V40" s="5">
        <f t="shared" si="4"/>
        <v>15588</v>
      </c>
      <c r="W40" s="2" t="s">
        <v>89</v>
      </c>
      <c r="X40">
        <f t="shared" si="5"/>
        <v>14808.599999999999</v>
      </c>
      <c r="Y40">
        <f>_xlfn.XLOOKUP(O40,产品信息表!$A$4:$A$15,产品信息表!$E$4:$E$15)</f>
        <v>950</v>
      </c>
      <c r="Z40" s="31">
        <f t="shared" si="6"/>
        <v>0.23017705927636636</v>
      </c>
      <c r="AA40">
        <f t="shared" si="7"/>
        <v>58</v>
      </c>
    </row>
    <row r="41" spans="1:27" ht="14.5">
      <c r="A41" s="6" t="s">
        <v>133</v>
      </c>
      <c r="B41" s="7">
        <v>46087</v>
      </c>
      <c r="C41" s="3" t="str">
        <f t="shared" si="0"/>
        <v>2026-03-06</v>
      </c>
      <c r="D41" s="6" t="s">
        <v>60</v>
      </c>
      <c r="E41" s="2" t="str">
        <f>VLOOKUP(D41,客户信息表!A$3:H$23,2,0)</f>
        <v>杭州云图信息</v>
      </c>
      <c r="F41" s="8" t="s">
        <v>61</v>
      </c>
      <c r="G41" s="4" t="str">
        <f>INDEX(客户信息表!$A$4:$H$23,MATCH(F41,客户信息表!$B$4:$B$23,0),1)</f>
        <v>KH005</v>
      </c>
      <c r="H41" s="4" t="str">
        <f>_xlfn.XLOOKUP(O41,产品信息表!$A$4:$A$15,产品信息表!$C$4:$C$15)</f>
        <v>电子数码</v>
      </c>
      <c r="I41" s="30">
        <f>DATE(MID(A41,4,4),MID(A41,8,2),MID(A41,10,2))</f>
        <v>46087</v>
      </c>
      <c r="J41" s="4" t="str">
        <f t="shared" si="1"/>
        <v>0036</v>
      </c>
      <c r="K41" s="4" t="str">
        <f>VLOOKUP(D41,客户信息表!$A$3:$H$23,5,0)</f>
        <v>A</v>
      </c>
      <c r="L41" s="6" t="s">
        <v>18</v>
      </c>
      <c r="M41" s="6" t="s">
        <v>19</v>
      </c>
      <c r="N41" s="2" t="str">
        <f t="shared" si="2"/>
        <v>华东</v>
      </c>
      <c r="O41" s="6" t="s">
        <v>62</v>
      </c>
      <c r="P41" s="8" t="s">
        <v>63</v>
      </c>
      <c r="Q41" s="9">
        <v>1299</v>
      </c>
      <c r="R41" s="6">
        <v>12</v>
      </c>
      <c r="S41" s="2">
        <f t="shared" si="3"/>
        <v>12</v>
      </c>
      <c r="T41" s="2">
        <f>VLOOKUP(S41,折扣阶梯!$A$3:$C$7,2,TRUE)</f>
        <v>0.95</v>
      </c>
      <c r="U41" s="9">
        <v>15588</v>
      </c>
      <c r="V41" s="5">
        <f t="shared" si="4"/>
        <v>15588</v>
      </c>
      <c r="W41" s="6" t="s">
        <v>50</v>
      </c>
      <c r="X41">
        <f t="shared" si="5"/>
        <v>14808.599999999999</v>
      </c>
      <c r="Y41">
        <f>_xlfn.XLOOKUP(O41,产品信息表!$A$4:$A$15,产品信息表!$E$4:$E$15)</f>
        <v>950</v>
      </c>
      <c r="Z41" s="31">
        <f t="shared" si="6"/>
        <v>0.23017705927636636</v>
      </c>
      <c r="AA41">
        <f t="shared" si="7"/>
        <v>58</v>
      </c>
    </row>
    <row r="42" spans="1:27" ht="14.5">
      <c r="A42" s="6" t="s">
        <v>134</v>
      </c>
      <c r="B42" s="7">
        <v>46089</v>
      </c>
      <c r="C42" s="3" t="str">
        <f t="shared" si="0"/>
        <v>2026-03-08</v>
      </c>
      <c r="D42" s="6" t="s">
        <v>76</v>
      </c>
      <c r="E42" s="2" t="str">
        <f>VLOOKUP(D42,客户信息表!A$3:H$23,2,0)</f>
        <v>北京华信科技</v>
      </c>
      <c r="F42" s="8" t="s">
        <v>77</v>
      </c>
      <c r="G42" s="4" t="str">
        <f>INDEX(客户信息表!$A$4:$H$23,MATCH(F42,客户信息表!$B$4:$B$23,0),1)</f>
        <v>KH001</v>
      </c>
      <c r="H42" s="4" t="str">
        <f>_xlfn.XLOOKUP(O42,产品信息表!$A$4:$A$15,产品信息表!$C$4:$C$15)</f>
        <v>软件服务</v>
      </c>
      <c r="I42" s="30">
        <f>DATE(MID(A42,4,4),MID(A42,8,2),MID(A42,10,2))</f>
        <v>46089</v>
      </c>
      <c r="J42" s="4" t="str">
        <f t="shared" si="1"/>
        <v>0038</v>
      </c>
      <c r="K42" s="4" t="str">
        <f>VLOOKUP(D42,客户信息表!$A$3:$H$23,5,0)</f>
        <v>A</v>
      </c>
      <c r="L42" s="6" t="s">
        <v>18</v>
      </c>
      <c r="M42" s="6" t="s">
        <v>38</v>
      </c>
      <c r="N42" s="2" t="str">
        <f t="shared" si="2"/>
        <v>华北</v>
      </c>
      <c r="O42" s="6" t="s">
        <v>57</v>
      </c>
      <c r="P42" s="8" t="s">
        <v>123</v>
      </c>
      <c r="Q42" s="9">
        <v>599</v>
      </c>
      <c r="R42" s="6">
        <v>12</v>
      </c>
      <c r="S42" s="2">
        <f t="shared" si="3"/>
        <v>12</v>
      </c>
      <c r="T42" s="2">
        <f>VLOOKUP(S42,折扣阶梯!$A$3:$C$7,2,TRUE)</f>
        <v>0.95</v>
      </c>
      <c r="U42" s="9">
        <v>7188</v>
      </c>
      <c r="V42" s="5">
        <f t="shared" si="4"/>
        <v>7188</v>
      </c>
      <c r="W42" s="6" t="s">
        <v>50</v>
      </c>
      <c r="X42">
        <f t="shared" si="5"/>
        <v>6828.5999999999995</v>
      </c>
      <c r="Y42">
        <f>_xlfn.XLOOKUP(O42,产品信息表!$A$4:$A$15,产品信息表!$E$4:$E$15)</f>
        <v>250</v>
      </c>
      <c r="Z42" s="31">
        <f t="shared" si="6"/>
        <v>0.56067129426236706</v>
      </c>
      <c r="AA42">
        <f t="shared" si="7"/>
        <v>99</v>
      </c>
    </row>
    <row r="43" spans="1:27" ht="14.5">
      <c r="A43" s="2" t="s">
        <v>135</v>
      </c>
      <c r="B43" s="3">
        <v>46089</v>
      </c>
      <c r="C43" s="3" t="str">
        <f t="shared" si="0"/>
        <v>2026-03-08</v>
      </c>
      <c r="D43" s="2" t="s">
        <v>16</v>
      </c>
      <c r="E43" s="2" t="str">
        <f>VLOOKUP(D43,客户信息表!A$3:H$23,2,0)</f>
        <v>上海锦程贸易</v>
      </c>
      <c r="F43" s="4" t="s">
        <v>17</v>
      </c>
      <c r="G43" s="4" t="str">
        <f>INDEX(客户信息表!$A$4:$H$23,MATCH(F43,客户信息表!$B$4:$B$23,0),1)</f>
        <v>KH002</v>
      </c>
      <c r="H43" s="4" t="str">
        <f>_xlfn.XLOOKUP(O43,产品信息表!$A$4:$A$15,产品信息表!$C$4:$C$15)</f>
        <v>电子数码</v>
      </c>
      <c r="I43" s="30">
        <f>DATE(MID(A43,4,4),MID(A43,8,2),MID(A43,10,2))</f>
        <v>46089</v>
      </c>
      <c r="J43" s="4" t="str">
        <f t="shared" si="1"/>
        <v>0039</v>
      </c>
      <c r="K43" s="4" t="str">
        <f>VLOOKUP(D43,客户信息表!$A$3:$H$23,5,0)</f>
        <v>B</v>
      </c>
      <c r="L43" s="2" t="s">
        <v>24</v>
      </c>
      <c r="M43" s="2" t="s">
        <v>19</v>
      </c>
      <c r="N43" s="2" t="str">
        <f t="shared" si="2"/>
        <v>华东</v>
      </c>
      <c r="O43" s="2" t="s">
        <v>62</v>
      </c>
      <c r="P43" s="4" t="s">
        <v>63</v>
      </c>
      <c r="Q43" s="5">
        <v>1299</v>
      </c>
      <c r="R43" s="2">
        <v>11</v>
      </c>
      <c r="S43" s="2">
        <f t="shared" si="3"/>
        <v>11</v>
      </c>
      <c r="T43" s="2">
        <f>VLOOKUP(S43,折扣阶梯!$A$3:$C$7,2,TRUE)</f>
        <v>0.95</v>
      </c>
      <c r="U43" s="5">
        <v>14289</v>
      </c>
      <c r="V43" s="5">
        <f t="shared" si="4"/>
        <v>14289</v>
      </c>
      <c r="W43" s="2" t="s">
        <v>50</v>
      </c>
      <c r="X43">
        <f t="shared" si="5"/>
        <v>13574.55</v>
      </c>
      <c r="Y43">
        <f>_xlfn.XLOOKUP(O43,产品信息表!$A$4:$A$15,产品信息表!$E$4:$E$15)</f>
        <v>950</v>
      </c>
      <c r="Z43" s="31">
        <f t="shared" si="6"/>
        <v>0.23017705927636639</v>
      </c>
      <c r="AA43">
        <f t="shared" si="7"/>
        <v>66</v>
      </c>
    </row>
    <row r="44" spans="1:27" ht="14.5">
      <c r="A44" s="6" t="s">
        <v>136</v>
      </c>
      <c r="B44" s="7">
        <v>46091</v>
      </c>
      <c r="C44" s="3" t="str">
        <f t="shared" si="0"/>
        <v>2026-03-10</v>
      </c>
      <c r="D44" s="6" t="s">
        <v>65</v>
      </c>
      <c r="E44" s="2" t="str">
        <f>VLOOKUP(D44,客户信息表!A$3:H$23,2,0)</f>
        <v>重庆山城办公设备</v>
      </c>
      <c r="F44" s="8" t="s">
        <v>66</v>
      </c>
      <c r="G44" s="4" t="str">
        <f>INDEX(客户信息表!$A$4:$H$23,MATCH(F44,客户信息表!$B$4:$B$23,0),1)</f>
        <v>KH011</v>
      </c>
      <c r="H44" s="4" t="str">
        <f>_xlfn.XLOOKUP(O44,产品信息表!$A$4:$A$15,产品信息表!$C$4:$C$15)</f>
        <v>电子数码</v>
      </c>
      <c r="I44" s="30">
        <f>DATE(MID(A44,4,4),MID(A44,8,2),MID(A44,10,2))</f>
        <v>46091</v>
      </c>
      <c r="J44" s="4" t="str">
        <f t="shared" si="1"/>
        <v>0040</v>
      </c>
      <c r="K44" s="4" t="str">
        <f>VLOOKUP(D44,客户信息表!$A$3:$H$23,5,0)</f>
        <v>B</v>
      </c>
      <c r="L44" s="6" t="s">
        <v>44</v>
      </c>
      <c r="M44" s="6" t="s">
        <v>68</v>
      </c>
      <c r="N44" s="2" t="str">
        <f t="shared" si="2"/>
        <v>西南</v>
      </c>
      <c r="O44" s="6" t="s">
        <v>62</v>
      </c>
      <c r="P44" s="8" t="s">
        <v>63</v>
      </c>
      <c r="Q44" s="9">
        <v>1299</v>
      </c>
      <c r="R44" s="6">
        <v>7</v>
      </c>
      <c r="S44" s="2">
        <f t="shared" si="3"/>
        <v>7</v>
      </c>
      <c r="T44" s="2">
        <f>VLOOKUP(S44,折扣阶梯!$A$3:$C$7,2,TRUE)</f>
        <v>1</v>
      </c>
      <c r="U44" s="9">
        <v>9093</v>
      </c>
      <c r="V44" s="5">
        <f t="shared" si="4"/>
        <v>9093</v>
      </c>
      <c r="W44" s="6" t="s">
        <v>50</v>
      </c>
      <c r="X44">
        <f t="shared" si="5"/>
        <v>9093</v>
      </c>
      <c r="Y44">
        <f>_xlfn.XLOOKUP(O44,产品信息表!$A$4:$A$15,产品信息表!$E$4:$E$15)</f>
        <v>950</v>
      </c>
      <c r="Z44" s="31">
        <f t="shared" si="6"/>
        <v>0.26866820631254812</v>
      </c>
      <c r="AA44">
        <f t="shared" si="7"/>
        <v>87</v>
      </c>
    </row>
    <row r="45" spans="1:27" ht="14.5">
      <c r="A45" s="2" t="s">
        <v>137</v>
      </c>
      <c r="B45" s="3">
        <v>46091</v>
      </c>
      <c r="C45" s="3" t="str">
        <f t="shared" si="0"/>
        <v>2026-03-10</v>
      </c>
      <c r="D45" s="2" t="s">
        <v>125</v>
      </c>
      <c r="E45" s="2" t="str">
        <f>VLOOKUP(D45,客户信息表!A$3:H$23,2,0)</f>
        <v>南京紫金山软件园运营</v>
      </c>
      <c r="F45" s="4" t="s">
        <v>126</v>
      </c>
      <c r="G45" s="4" t="str">
        <f>INDEX(客户信息表!$A$4:$H$23,MATCH(F45,客户信息表!$B$4:$B$23,0),1)</f>
        <v>KH008</v>
      </c>
      <c r="H45" s="4" t="str">
        <f>_xlfn.XLOOKUP(O45,产品信息表!$A$4:$A$15,产品信息表!$C$4:$C$15)</f>
        <v>电子数码</v>
      </c>
      <c r="I45" s="30">
        <f>DATE(MID(A45,4,4),MID(A45,8,2),MID(A45,10,2))</f>
        <v>46091</v>
      </c>
      <c r="J45" s="4" t="str">
        <f t="shared" si="1"/>
        <v>0041</v>
      </c>
      <c r="K45" s="4" t="str">
        <f>VLOOKUP(D45,客户信息表!$A$3:$H$23,5,0)</f>
        <v>C</v>
      </c>
      <c r="L45" s="2" t="s">
        <v>37</v>
      </c>
      <c r="M45" s="2" t="s">
        <v>19</v>
      </c>
      <c r="N45" s="2" t="str">
        <f t="shared" si="2"/>
        <v>华东</v>
      </c>
      <c r="O45" s="2" t="s">
        <v>91</v>
      </c>
      <c r="P45" s="4" t="s">
        <v>102</v>
      </c>
      <c r="Q45" s="5">
        <v>5699</v>
      </c>
      <c r="R45" s="2">
        <v>3</v>
      </c>
      <c r="S45" s="2">
        <f t="shared" si="3"/>
        <v>3</v>
      </c>
      <c r="T45" s="2">
        <f>VLOOKUP(S45,折扣阶梯!$A$3:$C$7,2,TRUE)</f>
        <v>1</v>
      </c>
      <c r="U45" s="5">
        <v>17097</v>
      </c>
      <c r="V45" s="5">
        <f t="shared" si="4"/>
        <v>17097</v>
      </c>
      <c r="W45" s="2" t="s">
        <v>50</v>
      </c>
      <c r="X45">
        <f t="shared" si="5"/>
        <v>17097</v>
      </c>
      <c r="Y45">
        <f>_xlfn.XLOOKUP(O45,产品信息表!$A$4:$A$15,产品信息表!$E$4:$E$15)</f>
        <v>4800</v>
      </c>
      <c r="Z45" s="31">
        <f t="shared" si="6"/>
        <v>0.15774697315318478</v>
      </c>
      <c r="AA45">
        <f t="shared" si="7"/>
        <v>56</v>
      </c>
    </row>
    <row r="46" spans="1:27" ht="14.5">
      <c r="A46" s="6" t="s">
        <v>138</v>
      </c>
      <c r="B46" s="7">
        <v>46096</v>
      </c>
      <c r="C46" s="3" t="str">
        <f t="shared" si="0"/>
        <v>2026-03-15</v>
      </c>
      <c r="D46" s="6" t="s">
        <v>139</v>
      </c>
      <c r="E46" s="2" t="str">
        <f>VLOOKUP(D46,客户信息表!A$3:H$23,2,0)</f>
        <v>石家庄振华商贸</v>
      </c>
      <c r="F46" s="8" t="s">
        <v>140</v>
      </c>
      <c r="G46" s="4" t="str">
        <f>INDEX(客户信息表!$A$4:$H$23,MATCH(F46,客户信息表!$B$4:$B$23,0),1)</f>
        <v>KH013</v>
      </c>
      <c r="H46" s="4" t="str">
        <f>_xlfn.XLOOKUP(O46,产品信息表!$A$4:$A$15,产品信息表!$C$4:$C$15)</f>
        <v>软件服务</v>
      </c>
      <c r="I46" s="30">
        <f>DATE(MID(A46,4,4),MID(A46,8,2),MID(A46,10,2))</f>
        <v>46096</v>
      </c>
      <c r="J46" s="4" t="str">
        <f t="shared" si="1"/>
        <v>0042</v>
      </c>
      <c r="K46" s="4" t="str">
        <f>VLOOKUP(D46,客户信息表!$A$3:$H$23,5,0)</f>
        <v>C</v>
      </c>
      <c r="L46" s="6" t="s">
        <v>44</v>
      </c>
      <c r="M46" s="6" t="s">
        <v>38</v>
      </c>
      <c r="N46" s="2" t="str">
        <f t="shared" si="2"/>
        <v>华北</v>
      </c>
      <c r="O46" s="6" t="s">
        <v>57</v>
      </c>
      <c r="P46" s="8" t="s">
        <v>123</v>
      </c>
      <c r="Q46" s="9">
        <v>599</v>
      </c>
      <c r="R46" s="6">
        <v>37</v>
      </c>
      <c r="S46" s="2">
        <f t="shared" si="3"/>
        <v>37</v>
      </c>
      <c r="T46" s="2">
        <f>VLOOKUP(S46,折扣阶梯!$A$3:$C$7,2,TRUE)</f>
        <v>0.95</v>
      </c>
      <c r="U46" s="9">
        <v>22163</v>
      </c>
      <c r="V46" s="5">
        <f t="shared" si="4"/>
        <v>22163</v>
      </c>
      <c r="W46" s="6" t="s">
        <v>89</v>
      </c>
      <c r="X46">
        <f t="shared" si="5"/>
        <v>21054.85</v>
      </c>
      <c r="Y46">
        <f>_xlfn.XLOOKUP(O46,产品信息表!$A$4:$A$15,产品信息表!$E$4:$E$15)</f>
        <v>250</v>
      </c>
      <c r="Z46" s="31">
        <f t="shared" si="6"/>
        <v>0.56067129426236706</v>
      </c>
      <c r="AA46">
        <f t="shared" si="7"/>
        <v>38</v>
      </c>
    </row>
    <row r="47" spans="1:27" ht="14.5">
      <c r="A47" s="2" t="s">
        <v>141</v>
      </c>
      <c r="B47" s="3">
        <v>46096</v>
      </c>
      <c r="C47" s="3" t="str">
        <f t="shared" si="0"/>
        <v>2026-03-15</v>
      </c>
      <c r="D47" s="2" t="s">
        <v>142</v>
      </c>
      <c r="E47" s="2" t="str">
        <f>VLOOKUP(D47,客户信息表!A$3:H$23,2,0)</f>
        <v>佛山美的家电商贸</v>
      </c>
      <c r="F47" s="4" t="s">
        <v>143</v>
      </c>
      <c r="G47" s="4" t="str">
        <f>INDEX(客户信息表!$A$4:$H$23,MATCH(F47,客户信息表!$B$4:$B$23,0),1)</f>
        <v>KH015</v>
      </c>
      <c r="H47" s="4" t="str">
        <f>_xlfn.XLOOKUP(O47,产品信息表!$A$4:$A$15,产品信息表!$C$4:$C$15)</f>
        <v>电子数码</v>
      </c>
      <c r="I47" s="30">
        <f>DATE(MID(A47,4,4),MID(A47,8,2),MID(A47,10,2))</f>
        <v>46096</v>
      </c>
      <c r="J47" s="4" t="str">
        <f t="shared" si="1"/>
        <v>0043</v>
      </c>
      <c r="K47" s="4" t="str">
        <f>VLOOKUP(D47,客户信息表!$A$3:$H$23,5,0)</f>
        <v>A</v>
      </c>
      <c r="L47" s="2" t="s">
        <v>24</v>
      </c>
      <c r="M47" s="2" t="s">
        <v>25</v>
      </c>
      <c r="N47" s="2" t="str">
        <f t="shared" si="2"/>
        <v>华南</v>
      </c>
      <c r="O47" s="2" t="s">
        <v>91</v>
      </c>
      <c r="P47" s="4" t="s">
        <v>102</v>
      </c>
      <c r="Q47" s="5">
        <v>5699</v>
      </c>
      <c r="R47" s="2">
        <v>1</v>
      </c>
      <c r="S47" s="2">
        <f t="shared" si="3"/>
        <v>1</v>
      </c>
      <c r="T47" s="2">
        <f>VLOOKUP(S47,折扣阶梯!$A$3:$C$7,2,TRUE)</f>
        <v>1</v>
      </c>
      <c r="U47" s="5">
        <v>5699</v>
      </c>
      <c r="V47" s="5">
        <f t="shared" si="4"/>
        <v>5699</v>
      </c>
      <c r="W47" s="2" t="s">
        <v>50</v>
      </c>
      <c r="X47">
        <f t="shared" si="5"/>
        <v>5699</v>
      </c>
      <c r="Y47">
        <f>_xlfn.XLOOKUP(O47,产品信息表!$A$4:$A$15,产品信息表!$E$4:$E$15)</f>
        <v>4800</v>
      </c>
      <c r="Z47" s="31">
        <f t="shared" si="6"/>
        <v>0.15774697315318478</v>
      </c>
      <c r="AA47">
        <f t="shared" si="7"/>
        <v>106</v>
      </c>
    </row>
    <row r="48" spans="1:27" ht="14.5">
      <c r="A48" s="6" t="s">
        <v>144</v>
      </c>
      <c r="B48" s="7">
        <v>46097</v>
      </c>
      <c r="C48" s="3" t="str">
        <f t="shared" si="0"/>
        <v>2026-03-16</v>
      </c>
      <c r="D48" s="6" t="s">
        <v>125</v>
      </c>
      <c r="E48" s="2" t="str">
        <f>VLOOKUP(D48,客户信息表!A$3:H$23,2,0)</f>
        <v>南京紫金山软件园运营</v>
      </c>
      <c r="F48" s="8" t="s">
        <v>126</v>
      </c>
      <c r="G48" s="4" t="str">
        <f>INDEX(客户信息表!$A$4:$H$23,MATCH(F48,客户信息表!$B$4:$B$23,0),1)</f>
        <v>KH008</v>
      </c>
      <c r="H48" s="4" t="str">
        <f>_xlfn.XLOOKUP(O48,产品信息表!$A$4:$A$15,产品信息表!$C$4:$C$15)</f>
        <v>软件服务</v>
      </c>
      <c r="I48" s="30">
        <f>DATE(MID(A48,4,4),MID(A48,8,2),MID(A48,10,2))</f>
        <v>46097</v>
      </c>
      <c r="J48" s="4" t="str">
        <f t="shared" si="1"/>
        <v>0044</v>
      </c>
      <c r="K48" s="4" t="str">
        <f>VLOOKUP(D48,客户信息表!$A$3:$H$23,5,0)</f>
        <v>C</v>
      </c>
      <c r="L48" s="6" t="s">
        <v>18</v>
      </c>
      <c r="M48" s="6" t="s">
        <v>19</v>
      </c>
      <c r="N48" s="2" t="str">
        <f t="shared" si="2"/>
        <v>华东</v>
      </c>
      <c r="O48" s="6" t="s">
        <v>57</v>
      </c>
      <c r="P48" s="8" t="s">
        <v>123</v>
      </c>
      <c r="Q48" s="9">
        <v>599</v>
      </c>
      <c r="R48" s="6">
        <v>10</v>
      </c>
      <c r="S48" s="2">
        <f t="shared" si="3"/>
        <v>10</v>
      </c>
      <c r="T48" s="2">
        <f>VLOOKUP(S48,折扣阶梯!$A$3:$C$7,2,TRUE)</f>
        <v>0.95</v>
      </c>
      <c r="U48" s="9">
        <v>5990</v>
      </c>
      <c r="V48" s="5">
        <f t="shared" si="4"/>
        <v>5990</v>
      </c>
      <c r="W48" s="6" t="s">
        <v>89</v>
      </c>
      <c r="X48">
        <f t="shared" si="5"/>
        <v>5690.5</v>
      </c>
      <c r="Y48">
        <f>_xlfn.XLOOKUP(O48,产品信息表!$A$4:$A$15,产品信息表!$E$4:$E$15)</f>
        <v>250</v>
      </c>
      <c r="Z48" s="31">
        <f t="shared" si="6"/>
        <v>0.56067129426236706</v>
      </c>
      <c r="AA48">
        <f t="shared" si="7"/>
        <v>105</v>
      </c>
    </row>
    <row r="49" spans="1:27" ht="14.5">
      <c r="A49" s="2" t="s">
        <v>145</v>
      </c>
      <c r="B49" s="3">
        <v>46097</v>
      </c>
      <c r="C49" s="3" t="str">
        <f t="shared" si="0"/>
        <v>2026-03-16</v>
      </c>
      <c r="D49" s="2" t="s">
        <v>98</v>
      </c>
      <c r="E49" s="2" t="str">
        <f>VLOOKUP(D49,客户信息表!A$3:H$23,2,0)</f>
        <v>苏州创智科技</v>
      </c>
      <c r="F49" s="4" t="s">
        <v>99</v>
      </c>
      <c r="G49" s="4" t="str">
        <f>INDEX(客户信息表!$A$4:$H$23,MATCH(F49,客户信息表!$B$4:$B$23,0),1)</f>
        <v>KH010</v>
      </c>
      <c r="H49" s="4" t="str">
        <f>_xlfn.XLOOKUP(O49,产品信息表!$A$4:$A$15,产品信息表!$C$4:$C$15)</f>
        <v>办公耗材</v>
      </c>
      <c r="I49" s="30">
        <f>DATE(MID(A49,4,4),MID(A49,8,2),MID(A49,10,2))</f>
        <v>46097</v>
      </c>
      <c r="J49" s="4" t="str">
        <f t="shared" si="1"/>
        <v>0045</v>
      </c>
      <c r="K49" s="4" t="str">
        <f>VLOOKUP(D49,客户信息表!$A$3:$H$23,5,0)</f>
        <v>A</v>
      </c>
      <c r="L49" s="2" t="s">
        <v>24</v>
      </c>
      <c r="M49" s="2" t="s">
        <v>19</v>
      </c>
      <c r="N49" s="2" t="str">
        <f t="shared" si="2"/>
        <v>华东</v>
      </c>
      <c r="O49" s="2" t="s">
        <v>73</v>
      </c>
      <c r="P49" s="4" t="s">
        <v>74</v>
      </c>
      <c r="Q49" s="5">
        <v>385</v>
      </c>
      <c r="R49" s="2">
        <v>115</v>
      </c>
      <c r="S49" s="2">
        <f t="shared" si="3"/>
        <v>115</v>
      </c>
      <c r="T49" s="2">
        <f>VLOOKUP(S49,折扣阶梯!$A$3:$C$7,2,TRUE)</f>
        <v>0.85</v>
      </c>
      <c r="U49" s="5">
        <v>44275</v>
      </c>
      <c r="V49" s="5">
        <f t="shared" si="4"/>
        <v>44275</v>
      </c>
      <c r="W49" s="2" t="s">
        <v>50</v>
      </c>
      <c r="X49">
        <f t="shared" si="5"/>
        <v>37633.75</v>
      </c>
      <c r="Y49">
        <f>_xlfn.XLOOKUP(O49,产品信息表!$A$4:$A$15,产品信息表!$E$4:$E$15)</f>
        <v>260</v>
      </c>
      <c r="Z49" s="31">
        <f t="shared" si="6"/>
        <v>0.2055003819709702</v>
      </c>
      <c r="AA49">
        <f t="shared" si="7"/>
        <v>7</v>
      </c>
    </row>
    <row r="50" spans="1:27" ht="14.5">
      <c r="A50" s="6" t="s">
        <v>146</v>
      </c>
      <c r="B50" s="7">
        <v>46098</v>
      </c>
      <c r="C50" s="3" t="str">
        <f t="shared" si="0"/>
        <v>2026-03-17</v>
      </c>
      <c r="D50" s="6" t="s">
        <v>98</v>
      </c>
      <c r="E50" s="2" t="str">
        <f>VLOOKUP(D50,客户信息表!A$3:H$23,2,0)</f>
        <v>苏州创智科技</v>
      </c>
      <c r="F50" s="8" t="s">
        <v>99</v>
      </c>
      <c r="G50" s="4" t="str">
        <f>INDEX(客户信息表!$A$4:$H$23,MATCH(F50,客户信息表!$B$4:$B$23,0),1)</f>
        <v>KH010</v>
      </c>
      <c r="H50" s="4" t="str">
        <f>_xlfn.XLOOKUP(O50,产品信息表!$A$4:$A$15,产品信息表!$C$4:$C$15)</f>
        <v>办公耗材</v>
      </c>
      <c r="I50" s="30">
        <f>DATE(MID(A50,4,4),MID(A50,8,2),MID(A50,10,2))</f>
        <v>46098</v>
      </c>
      <c r="J50" s="4" t="str">
        <f t="shared" si="1"/>
        <v>0046</v>
      </c>
      <c r="K50" s="4" t="str">
        <f>VLOOKUP(D50,客户信息表!$A$3:$H$23,5,0)</f>
        <v>A</v>
      </c>
      <c r="L50" s="6" t="s">
        <v>78</v>
      </c>
      <c r="M50" s="6" t="s">
        <v>19</v>
      </c>
      <c r="N50" s="2" t="str">
        <f t="shared" si="2"/>
        <v>华东</v>
      </c>
      <c r="O50" s="6" t="s">
        <v>48</v>
      </c>
      <c r="P50" s="8" t="s">
        <v>49</v>
      </c>
      <c r="Q50" s="9">
        <v>45</v>
      </c>
      <c r="R50" s="6">
        <v>17</v>
      </c>
      <c r="S50" s="2">
        <f t="shared" si="3"/>
        <v>17</v>
      </c>
      <c r="T50" s="2">
        <f>VLOOKUP(S50,折扣阶梯!$A$3:$C$7,2,TRUE)</f>
        <v>0.95</v>
      </c>
      <c r="U50" s="11" t="s">
        <v>147</v>
      </c>
      <c r="V50" s="5">
        <f t="shared" si="4"/>
        <v>765</v>
      </c>
      <c r="W50" s="6" t="s">
        <v>22</v>
      </c>
      <c r="X50">
        <f t="shared" si="5"/>
        <v>726.75</v>
      </c>
      <c r="Y50">
        <f>_xlfn.XLOOKUP(O50,产品信息表!$A$4:$A$15,产品信息表!$E$4:$E$15)</f>
        <v>28</v>
      </c>
      <c r="Z50" s="31">
        <f t="shared" si="6"/>
        <v>0.34502923976608185</v>
      </c>
      <c r="AA50">
        <f t="shared" si="7"/>
        <v>151</v>
      </c>
    </row>
    <row r="51" spans="1:27" ht="14.5">
      <c r="A51" s="2" t="s">
        <v>148</v>
      </c>
      <c r="B51" s="3">
        <v>46101</v>
      </c>
      <c r="C51" s="3" t="str">
        <f t="shared" si="0"/>
        <v>2026-03-20</v>
      </c>
      <c r="D51" s="2" t="s">
        <v>149</v>
      </c>
      <c r="E51" s="2" t="str">
        <f>VLOOKUP(D51,客户信息表!A$3:H$23,2,0)</f>
        <v>深圳蓝鲸网络</v>
      </c>
      <c r="F51" s="4" t="s">
        <v>150</v>
      </c>
      <c r="G51" s="4" t="str">
        <f>INDEX(客户信息表!$A$4:$H$23,MATCH(F51,客户信息表!$B$4:$B$23,0),1)</f>
        <v>KH004</v>
      </c>
      <c r="H51" s="4" t="str">
        <f>_xlfn.XLOOKUP(O51,产品信息表!$A$4:$A$15,产品信息表!$C$4:$C$15)</f>
        <v>办公设备</v>
      </c>
      <c r="I51" s="30">
        <f>DATE(MID(A51,4,4),MID(A51,8,2),MID(A51,10,2))</f>
        <v>46101</v>
      </c>
      <c r="J51" s="4" t="str">
        <f t="shared" si="1"/>
        <v>0047</v>
      </c>
      <c r="K51" s="4" t="str">
        <f>VLOOKUP(D51,客户信息表!$A$3:$H$23,5,0)</f>
        <v>B</v>
      </c>
      <c r="L51" s="2" t="s">
        <v>37</v>
      </c>
      <c r="M51" s="2" t="s">
        <v>25</v>
      </c>
      <c r="N51" s="2" t="str">
        <f t="shared" si="2"/>
        <v>华南</v>
      </c>
      <c r="O51" s="2" t="s">
        <v>81</v>
      </c>
      <c r="P51" s="4" t="s">
        <v>82</v>
      </c>
      <c r="Q51" s="5">
        <v>2499</v>
      </c>
      <c r="R51" s="2">
        <v>4</v>
      </c>
      <c r="S51" s="2">
        <f t="shared" si="3"/>
        <v>4</v>
      </c>
      <c r="T51" s="2">
        <f>VLOOKUP(S51,折扣阶梯!$A$3:$C$7,2,TRUE)</f>
        <v>1</v>
      </c>
      <c r="U51" s="5">
        <v>9996</v>
      </c>
      <c r="V51" s="5">
        <f t="shared" si="4"/>
        <v>9996</v>
      </c>
      <c r="W51" s="2" t="s">
        <v>14</v>
      </c>
      <c r="X51">
        <f t="shared" si="5"/>
        <v>9996</v>
      </c>
      <c r="Y51">
        <f>_xlfn.XLOOKUP(O51,产品信息表!$A$4:$A$15,产品信息表!$E$4:$E$15)</f>
        <v>1850</v>
      </c>
      <c r="Z51" s="31">
        <f t="shared" si="6"/>
        <v>0.25970388155262103</v>
      </c>
      <c r="AA51">
        <f t="shared" si="7"/>
        <v>80</v>
      </c>
    </row>
    <row r="52" spans="1:27" ht="14.5">
      <c r="A52" s="6" t="s">
        <v>151</v>
      </c>
      <c r="B52" s="7">
        <v>46102</v>
      </c>
      <c r="C52" s="3" t="str">
        <f t="shared" si="0"/>
        <v>2026-03-21</v>
      </c>
      <c r="D52" s="6" t="s">
        <v>152</v>
      </c>
      <c r="E52" s="2" t="str">
        <f>VLOOKUP(D52,客户信息表!A$3:H$23,2,0)</f>
        <v>厦门鹭岛文创</v>
      </c>
      <c r="F52" s="8" t="s">
        <v>153</v>
      </c>
      <c r="G52" s="4" t="str">
        <f>INDEX(客户信息表!$A$4:$H$23,MATCH(F52,客户信息表!$B$4:$B$23,0),1)</f>
        <v>KH018</v>
      </c>
      <c r="H52" s="4" t="str">
        <f>_xlfn.XLOOKUP(O52,产品信息表!$A$4:$A$15,产品信息表!$C$4:$C$15)</f>
        <v>电子数码</v>
      </c>
      <c r="I52" s="30">
        <f>DATE(MID(A52,4,4),MID(A52,8,2),MID(A52,10,2))</f>
        <v>46102</v>
      </c>
      <c r="J52" s="4" t="str">
        <f t="shared" si="1"/>
        <v>0048</v>
      </c>
      <c r="K52" s="4" t="str">
        <f>VLOOKUP(D52,客户信息表!$A$3:$H$23,5,0)</f>
        <v>C</v>
      </c>
      <c r="L52" s="6" t="s">
        <v>67</v>
      </c>
      <c r="M52" s="6" t="s">
        <v>154</v>
      </c>
      <c r="N52" s="2" t="str">
        <f t="shared" si="2"/>
        <v>华南</v>
      </c>
      <c r="O52" s="6" t="s">
        <v>20</v>
      </c>
      <c r="P52" s="8" t="s">
        <v>21</v>
      </c>
      <c r="Q52" s="9">
        <v>299</v>
      </c>
      <c r="R52" s="6">
        <v>6</v>
      </c>
      <c r="S52" s="2">
        <f t="shared" si="3"/>
        <v>6</v>
      </c>
      <c r="T52" s="2">
        <f>VLOOKUP(S52,折扣阶梯!$A$3:$C$7,2,TRUE)</f>
        <v>1</v>
      </c>
      <c r="U52" s="9">
        <v>1794</v>
      </c>
      <c r="V52" s="5">
        <f t="shared" si="4"/>
        <v>1794</v>
      </c>
      <c r="W52" s="6" t="s">
        <v>50</v>
      </c>
      <c r="X52">
        <f t="shared" si="5"/>
        <v>1794</v>
      </c>
      <c r="Y52">
        <f>_xlfn.XLOOKUP(O52,产品信息表!$A$4:$A$15,产品信息表!$E$4:$E$15)</f>
        <v>190</v>
      </c>
      <c r="Z52" s="31">
        <f t="shared" si="6"/>
        <v>0.36454849498327757</v>
      </c>
      <c r="AA52">
        <f t="shared" si="7"/>
        <v>142</v>
      </c>
    </row>
    <row r="53" spans="1:27" ht="14.5">
      <c r="A53" s="2" t="s">
        <v>155</v>
      </c>
      <c r="B53" s="3">
        <v>46103</v>
      </c>
      <c r="C53" s="3" t="str">
        <f t="shared" si="0"/>
        <v>2026-03-22</v>
      </c>
      <c r="D53" s="2" t="s">
        <v>60</v>
      </c>
      <c r="E53" s="2" t="str">
        <f>VLOOKUP(D53,客户信息表!A$3:H$23,2,0)</f>
        <v>杭州云图信息</v>
      </c>
      <c r="F53" s="4" t="s">
        <v>61</v>
      </c>
      <c r="G53" s="4" t="str">
        <f>INDEX(客户信息表!$A$4:$H$23,MATCH(F53,客户信息表!$B$4:$B$23,0),1)</f>
        <v>KH005</v>
      </c>
      <c r="H53" s="4" t="str">
        <f>_xlfn.XLOOKUP(O53,产品信息表!$A$4:$A$15,产品信息表!$C$4:$C$15)</f>
        <v>软件服务</v>
      </c>
      <c r="I53" s="30">
        <f>DATE(MID(A53,4,4),MID(A53,8,2),MID(A53,10,2))</f>
        <v>46103</v>
      </c>
      <c r="J53" s="4" t="str">
        <f t="shared" si="1"/>
        <v>0049</v>
      </c>
      <c r="K53" s="4" t="str">
        <f>VLOOKUP(D53,客户信息表!$A$3:$H$23,5,0)</f>
        <v>A</v>
      </c>
      <c r="L53" s="2" t="s">
        <v>55</v>
      </c>
      <c r="M53" s="2" t="s">
        <v>19</v>
      </c>
      <c r="N53" s="2" t="str">
        <f t="shared" si="2"/>
        <v>华东</v>
      </c>
      <c r="O53" s="2" t="s">
        <v>12</v>
      </c>
      <c r="P53" s="4" t="s">
        <v>13</v>
      </c>
      <c r="Q53" s="5">
        <v>699</v>
      </c>
      <c r="R53" s="2">
        <v>25</v>
      </c>
      <c r="S53" s="2">
        <f t="shared" si="3"/>
        <v>25</v>
      </c>
      <c r="T53" s="2">
        <f>VLOOKUP(S53,折扣阶梯!$A$3:$C$7,2,TRUE)</f>
        <v>0.95</v>
      </c>
      <c r="U53" s="5">
        <v>17475</v>
      </c>
      <c r="V53" s="5">
        <f t="shared" si="4"/>
        <v>17475</v>
      </c>
      <c r="W53" s="2" t="s">
        <v>50</v>
      </c>
      <c r="X53">
        <f t="shared" si="5"/>
        <v>16601.25</v>
      </c>
      <c r="Y53">
        <f>_xlfn.XLOOKUP(O53,产品信息表!$A$4:$A$15,产品信息表!$E$4:$E$15)</f>
        <v>300</v>
      </c>
      <c r="Z53" s="31">
        <f t="shared" si="6"/>
        <v>0.54822679015134401</v>
      </c>
      <c r="AA53">
        <f t="shared" si="7"/>
        <v>53</v>
      </c>
    </row>
    <row r="54" spans="1:27" ht="14.5">
      <c r="A54" s="6" t="s">
        <v>156</v>
      </c>
      <c r="B54" s="7">
        <v>46104</v>
      </c>
      <c r="C54" s="3" t="str">
        <f t="shared" si="0"/>
        <v>2026-03-23</v>
      </c>
      <c r="D54" s="6" t="s">
        <v>107</v>
      </c>
      <c r="E54" s="2" t="str">
        <f>VLOOKUP(D54,客户信息表!A$3:H$23,2,0)</f>
        <v>天津海河传媒</v>
      </c>
      <c r="F54" s="8" t="s">
        <v>108</v>
      </c>
      <c r="G54" s="4" t="str">
        <f>INDEX(客户信息表!$A$4:$H$23,MATCH(F54,客户信息表!$B$4:$B$23,0),1)</f>
        <v>KH009</v>
      </c>
      <c r="H54" s="4" t="str">
        <f>_xlfn.XLOOKUP(O54,产品信息表!$A$4:$A$15,产品信息表!$C$4:$C$15)</f>
        <v>软件服务</v>
      </c>
      <c r="I54" s="30">
        <f>DATE(MID(A54,4,4),MID(A54,8,2),MID(A54,10,2))</f>
        <v>46104</v>
      </c>
      <c r="J54" s="4" t="str">
        <f t="shared" si="1"/>
        <v>0050</v>
      </c>
      <c r="K54" s="4" t="str">
        <f>VLOOKUP(D54,客户信息表!$A$3:$H$23,5,0)</f>
        <v>C</v>
      </c>
      <c r="L54" s="6" t="s">
        <v>24</v>
      </c>
      <c r="M54" s="6" t="s">
        <v>38</v>
      </c>
      <c r="N54" s="2" t="str">
        <f t="shared" si="2"/>
        <v>华北</v>
      </c>
      <c r="O54" s="6" t="s">
        <v>12</v>
      </c>
      <c r="P54" s="8" t="s">
        <v>13</v>
      </c>
      <c r="Q54" s="9">
        <v>699</v>
      </c>
      <c r="R54" s="6">
        <v>39</v>
      </c>
      <c r="S54" s="2">
        <f t="shared" si="3"/>
        <v>39</v>
      </c>
      <c r="T54" s="2">
        <f>VLOOKUP(S54,折扣阶梯!$A$3:$C$7,2,TRUE)</f>
        <v>0.95</v>
      </c>
      <c r="U54" s="9">
        <v>27261</v>
      </c>
      <c r="V54" s="5">
        <f t="shared" si="4"/>
        <v>27261</v>
      </c>
      <c r="W54" s="6" t="s">
        <v>50</v>
      </c>
      <c r="X54">
        <f t="shared" si="5"/>
        <v>25897.949999999997</v>
      </c>
      <c r="Y54">
        <f>_xlfn.XLOOKUP(O54,产品信息表!$A$4:$A$15,产品信息表!$E$4:$E$15)</f>
        <v>300</v>
      </c>
      <c r="Z54" s="31">
        <f t="shared" si="6"/>
        <v>0.54822679015134401</v>
      </c>
      <c r="AA54">
        <f t="shared" si="7"/>
        <v>22</v>
      </c>
    </row>
    <row r="55" spans="1:27" ht="14.5">
      <c r="A55" s="2" t="s">
        <v>157</v>
      </c>
      <c r="B55" s="3">
        <v>46104</v>
      </c>
      <c r="C55" s="3" t="str">
        <f t="shared" si="0"/>
        <v>2026-03-23</v>
      </c>
      <c r="D55" s="2" t="s">
        <v>31</v>
      </c>
      <c r="E55" s="2" t="str">
        <f>VLOOKUP(D55,客户信息表!A$3:H$23,2,0)</f>
        <v>长沙麓山科技</v>
      </c>
      <c r="F55" s="4" t="s">
        <v>32</v>
      </c>
      <c r="G55" s="4" t="str">
        <f>INDEX(客户信息表!$A$4:$H$23,MATCH(F55,客户信息表!$B$4:$B$23,0),1)</f>
        <v>KH012</v>
      </c>
      <c r="H55" s="4" t="str">
        <f>_xlfn.XLOOKUP(O55,产品信息表!$A$4:$A$15,产品信息表!$C$4:$C$15)</f>
        <v>办公设备</v>
      </c>
      <c r="I55" s="30">
        <f>DATE(MID(A55,4,4),MID(A55,8,2),MID(A55,10,2))</f>
        <v>46104</v>
      </c>
      <c r="J55" s="4" t="str">
        <f t="shared" si="1"/>
        <v>0051</v>
      </c>
      <c r="K55" s="4" t="str">
        <f>VLOOKUP(D55,客户信息表!$A$3:$H$23,5,0)</f>
        <v>B</v>
      </c>
      <c r="L55" s="2" t="s">
        <v>55</v>
      </c>
      <c r="M55" s="2" t="s">
        <v>45</v>
      </c>
      <c r="N55" s="2" t="str">
        <f t="shared" si="2"/>
        <v>华中</v>
      </c>
      <c r="O55" s="2" t="s">
        <v>26</v>
      </c>
      <c r="P55" s="4" t="s">
        <v>27</v>
      </c>
      <c r="Q55" s="5">
        <v>899</v>
      </c>
      <c r="R55" s="2">
        <v>1</v>
      </c>
      <c r="S55" s="2">
        <f t="shared" si="3"/>
        <v>1</v>
      </c>
      <c r="T55" s="2">
        <f>VLOOKUP(S55,折扣阶梯!$A$3:$C$7,2,TRUE)</f>
        <v>1</v>
      </c>
      <c r="U55" s="5">
        <v>899</v>
      </c>
      <c r="V55" s="5">
        <f t="shared" si="4"/>
        <v>899</v>
      </c>
      <c r="W55" s="2" t="s">
        <v>89</v>
      </c>
      <c r="X55">
        <f t="shared" si="5"/>
        <v>899</v>
      </c>
      <c r="Y55">
        <f>_xlfn.XLOOKUP(O55,产品信息表!$A$4:$A$15,产品信息表!$E$4:$E$15)</f>
        <v>620</v>
      </c>
      <c r="Z55" s="31">
        <f t="shared" si="6"/>
        <v>0.31034482758620691</v>
      </c>
      <c r="AA55">
        <f t="shared" si="7"/>
        <v>145</v>
      </c>
    </row>
    <row r="56" spans="1:27" ht="14.5">
      <c r="A56" s="6" t="s">
        <v>158</v>
      </c>
      <c r="B56" s="7">
        <v>46110</v>
      </c>
      <c r="C56" s="3" t="str">
        <f t="shared" si="0"/>
        <v>2026-03-29</v>
      </c>
      <c r="D56" s="6" t="s">
        <v>84</v>
      </c>
      <c r="E56" s="2" t="str">
        <f>VLOOKUP(D56,客户信息表!A$3:H$23,2,0)</f>
        <v>昆明滇池科技</v>
      </c>
      <c r="F56" s="8" t="s">
        <v>85</v>
      </c>
      <c r="G56" s="4" t="str">
        <f>INDEX(客户信息表!$A$4:$H$23,MATCH(F56,客户信息表!$B$4:$B$23,0),1)</f>
        <v>KH016</v>
      </c>
      <c r="H56" s="4" t="str">
        <f>_xlfn.XLOOKUP(O56,产品信息表!$A$4:$A$15,产品信息表!$C$4:$C$15)</f>
        <v>办公耗材</v>
      </c>
      <c r="I56" s="30">
        <f>DATE(MID(A56,4,4),MID(A56,8,2),MID(A56,10,2))</f>
        <v>46110</v>
      </c>
      <c r="J56" s="4" t="str">
        <f t="shared" si="1"/>
        <v>0052</v>
      </c>
      <c r="K56" s="4" t="str">
        <f>VLOOKUP(D56,客户信息表!$A$3:$H$23,5,0)</f>
        <v>C</v>
      </c>
      <c r="L56" s="6" t="s">
        <v>78</v>
      </c>
      <c r="M56" s="6" t="s">
        <v>68</v>
      </c>
      <c r="N56" s="2" t="str">
        <f t="shared" si="2"/>
        <v>西南</v>
      </c>
      <c r="O56" s="6" t="s">
        <v>73</v>
      </c>
      <c r="P56" s="8" t="s">
        <v>74</v>
      </c>
      <c r="Q56" s="9">
        <v>385</v>
      </c>
      <c r="R56" s="6">
        <v>111</v>
      </c>
      <c r="S56" s="2">
        <f t="shared" si="3"/>
        <v>111</v>
      </c>
      <c r="T56" s="2">
        <f>VLOOKUP(S56,折扣阶梯!$A$3:$C$7,2,TRUE)</f>
        <v>0.85</v>
      </c>
      <c r="U56" s="9">
        <v>42735</v>
      </c>
      <c r="V56" s="5">
        <f t="shared" si="4"/>
        <v>42735</v>
      </c>
      <c r="W56" s="6" t="s">
        <v>22</v>
      </c>
      <c r="X56">
        <f t="shared" si="5"/>
        <v>36324.75</v>
      </c>
      <c r="Y56">
        <f>_xlfn.XLOOKUP(O56,产品信息表!$A$4:$A$15,产品信息表!$E$4:$E$15)</f>
        <v>260</v>
      </c>
      <c r="Z56" s="31">
        <f t="shared" si="6"/>
        <v>0.2055003819709702</v>
      </c>
      <c r="AA56">
        <f t="shared" si="7"/>
        <v>7</v>
      </c>
    </row>
    <row r="57" spans="1:27" ht="14.5">
      <c r="A57" s="2" t="s">
        <v>159</v>
      </c>
      <c r="B57" s="3">
        <v>46112</v>
      </c>
      <c r="C57" s="3" t="str">
        <f t="shared" si="0"/>
        <v>2026-03-31</v>
      </c>
      <c r="D57" s="2" t="s">
        <v>16</v>
      </c>
      <c r="E57" s="2" t="str">
        <f>VLOOKUP(D57,客户信息表!A$3:H$23,2,0)</f>
        <v>上海锦程贸易</v>
      </c>
      <c r="F57" s="4" t="s">
        <v>17</v>
      </c>
      <c r="G57" s="4" t="str">
        <f>INDEX(客户信息表!$A$4:$H$23,MATCH(F57,客户信息表!$B$4:$B$23,0),1)</f>
        <v>KH002</v>
      </c>
      <c r="H57" s="4" t="str">
        <f>_xlfn.XLOOKUP(O57,产品信息表!$A$4:$A$15,产品信息表!$C$4:$C$15)</f>
        <v>电子数码</v>
      </c>
      <c r="I57" s="30">
        <f>DATE(MID(A57,4,4),MID(A57,8,2),MID(A57,10,2))</f>
        <v>46112</v>
      </c>
      <c r="J57" s="4" t="str">
        <f t="shared" si="1"/>
        <v>0053</v>
      </c>
      <c r="K57" s="4" t="str">
        <f>VLOOKUP(D57,客户信息表!$A$3:$H$23,5,0)</f>
        <v>B</v>
      </c>
      <c r="L57" s="2" t="s">
        <v>24</v>
      </c>
      <c r="M57" s="2" t="s">
        <v>160</v>
      </c>
      <c r="N57" s="2" t="str">
        <f t="shared" si="2"/>
        <v>华东</v>
      </c>
      <c r="O57" s="2" t="s">
        <v>62</v>
      </c>
      <c r="P57" s="4" t="s">
        <v>63</v>
      </c>
      <c r="Q57" s="5">
        <v>1299</v>
      </c>
      <c r="R57" s="2"/>
      <c r="S57" s="2">
        <f t="shared" si="3"/>
        <v>12</v>
      </c>
      <c r="T57" s="2">
        <f>VLOOKUP(S57,折扣阶梯!$A$3:$C$7,2,TRUE)</f>
        <v>0.95</v>
      </c>
      <c r="U57" s="5">
        <v>15588</v>
      </c>
      <c r="V57" s="5">
        <f t="shared" si="4"/>
        <v>15588</v>
      </c>
      <c r="W57" s="2" t="s">
        <v>50</v>
      </c>
      <c r="X57">
        <f t="shared" si="5"/>
        <v>14808.599999999999</v>
      </c>
      <c r="Y57">
        <f>_xlfn.XLOOKUP(O57,产品信息表!$A$4:$A$15,产品信息表!$E$4:$E$15)</f>
        <v>950</v>
      </c>
      <c r="Z57" s="31">
        <f t="shared" si="6"/>
        <v>0.23017705927636636</v>
      </c>
      <c r="AA57">
        <f t="shared" si="7"/>
        <v>52</v>
      </c>
    </row>
    <row r="58" spans="1:27" ht="14.5">
      <c r="A58" s="6" t="s">
        <v>161</v>
      </c>
      <c r="B58" s="7">
        <v>46114</v>
      </c>
      <c r="C58" s="3" t="str">
        <f t="shared" si="0"/>
        <v>2026-04-02</v>
      </c>
      <c r="D58" s="6" t="s">
        <v>142</v>
      </c>
      <c r="E58" s="2" t="str">
        <f>VLOOKUP(D58,客户信息表!A$3:H$23,2,0)</f>
        <v>佛山美的家电商贸</v>
      </c>
      <c r="F58" s="8" t="s">
        <v>143</v>
      </c>
      <c r="G58" s="4" t="str">
        <f>INDEX(客户信息表!$A$4:$H$23,MATCH(F58,客户信息表!$B$4:$B$23,0),1)</f>
        <v>KH015</v>
      </c>
      <c r="H58" s="4" t="str">
        <f>_xlfn.XLOOKUP(O58,产品信息表!$A$4:$A$15,产品信息表!$C$4:$C$15)</f>
        <v>软件服务</v>
      </c>
      <c r="I58" s="30">
        <f>DATE(MID(A58,4,4),MID(A58,8,2),MID(A58,10,2))</f>
        <v>46114</v>
      </c>
      <c r="J58" s="4" t="str">
        <f t="shared" si="1"/>
        <v>0054</v>
      </c>
      <c r="K58" s="4" t="str">
        <f>VLOOKUP(D58,客户信息表!$A$3:$H$23,5,0)</f>
        <v>A</v>
      </c>
      <c r="L58" s="6" t="s">
        <v>67</v>
      </c>
      <c r="M58" s="6" t="s">
        <v>25</v>
      </c>
      <c r="N58" s="2" t="str">
        <f t="shared" si="2"/>
        <v>华南</v>
      </c>
      <c r="O58" s="6" t="s">
        <v>57</v>
      </c>
      <c r="P58" s="8" t="s">
        <v>123</v>
      </c>
      <c r="Q58" s="9">
        <v>599</v>
      </c>
      <c r="R58" s="6">
        <v>3</v>
      </c>
      <c r="S58" s="2">
        <f t="shared" si="3"/>
        <v>3</v>
      </c>
      <c r="T58" s="2">
        <f>VLOOKUP(S58,折扣阶梯!$A$3:$C$7,2,TRUE)</f>
        <v>1</v>
      </c>
      <c r="U58" s="9">
        <v>1797</v>
      </c>
      <c r="V58" s="5">
        <f t="shared" si="4"/>
        <v>1797</v>
      </c>
      <c r="W58" s="6" t="s">
        <v>89</v>
      </c>
      <c r="X58">
        <f t="shared" si="5"/>
        <v>1797</v>
      </c>
      <c r="Y58">
        <f>_xlfn.XLOOKUP(O58,产品信息表!$A$4:$A$15,产品信息表!$E$4:$E$15)</f>
        <v>250</v>
      </c>
      <c r="Z58" s="31">
        <f t="shared" si="6"/>
        <v>0.58263772954924875</v>
      </c>
      <c r="AA58">
        <f t="shared" si="7"/>
        <v>135</v>
      </c>
    </row>
    <row r="59" spans="1:27" ht="14.5">
      <c r="A59" s="2" t="s">
        <v>162</v>
      </c>
      <c r="B59" s="3">
        <v>46115</v>
      </c>
      <c r="C59" s="3" t="str">
        <f t="shared" si="0"/>
        <v>2026-04-03</v>
      </c>
      <c r="D59" s="2" t="s">
        <v>113</v>
      </c>
      <c r="E59" s="2" t="str">
        <f>VLOOKUP(D59,客户信息表!A$3:H$23,2,0)</f>
        <v>宁波海港实业</v>
      </c>
      <c r="F59" s="4" t="s">
        <v>114</v>
      </c>
      <c r="G59" s="4" t="str">
        <f>INDEX(客户信息表!$A$4:$H$23,MATCH(F59,客户信息表!$B$4:$B$23,0),1)</f>
        <v>KH014</v>
      </c>
      <c r="H59" s="4" t="str">
        <f>_xlfn.XLOOKUP(O59,产品信息表!$A$4:$A$15,产品信息表!$C$4:$C$15)</f>
        <v>电子数码</v>
      </c>
      <c r="I59" s="30">
        <f>DATE(MID(A59,4,4),MID(A59,8,2),MID(A59,10,2))</f>
        <v>46115</v>
      </c>
      <c r="J59" s="4" t="str">
        <f t="shared" si="1"/>
        <v>0055</v>
      </c>
      <c r="K59" s="4" t="str">
        <f>VLOOKUP(D59,客户信息表!$A$3:$H$23,5,0)</f>
        <v>B</v>
      </c>
      <c r="L59" s="2" t="s">
        <v>44</v>
      </c>
      <c r="M59" s="2" t="s">
        <v>19</v>
      </c>
      <c r="N59" s="2" t="str">
        <f t="shared" si="2"/>
        <v>华东</v>
      </c>
      <c r="O59" s="2" t="s">
        <v>62</v>
      </c>
      <c r="P59" s="4" t="s">
        <v>63</v>
      </c>
      <c r="Q59" s="5">
        <v>1299</v>
      </c>
      <c r="R59" s="2">
        <v>1</v>
      </c>
      <c r="S59" s="2">
        <f t="shared" si="3"/>
        <v>1</v>
      </c>
      <c r="T59" s="2">
        <f>VLOOKUP(S59,折扣阶梯!$A$3:$C$7,2,TRUE)</f>
        <v>1</v>
      </c>
      <c r="U59" s="5">
        <v>1299</v>
      </c>
      <c r="V59" s="5">
        <f t="shared" si="4"/>
        <v>1299</v>
      </c>
      <c r="W59" s="2" t="s">
        <v>50</v>
      </c>
      <c r="X59">
        <f t="shared" si="5"/>
        <v>1299</v>
      </c>
      <c r="Y59">
        <f>_xlfn.XLOOKUP(O59,产品信息表!$A$4:$A$15,产品信息表!$E$4:$E$15)</f>
        <v>950</v>
      </c>
      <c r="Z59" s="31">
        <f t="shared" si="6"/>
        <v>0.26866820631254812</v>
      </c>
      <c r="AA59">
        <f t="shared" si="7"/>
        <v>139</v>
      </c>
    </row>
    <row r="60" spans="1:27" ht="14.5">
      <c r="A60" s="6" t="s">
        <v>163</v>
      </c>
      <c r="B60" s="7">
        <v>46116</v>
      </c>
      <c r="C60" s="3" t="str">
        <f t="shared" si="0"/>
        <v>2026-04-04</v>
      </c>
      <c r="D60" s="6" t="s">
        <v>35</v>
      </c>
      <c r="E60" s="2" t="str">
        <f>VLOOKUP(D60,客户信息表!A$3:H$23,2,0)</f>
        <v>北京中关新材</v>
      </c>
      <c r="F60" s="8" t="s">
        <v>36</v>
      </c>
      <c r="G60" s="4" t="str">
        <f>INDEX(客户信息表!$A$4:$H$23,MATCH(F60,客户信息表!$B$4:$B$23,0),1)</f>
        <v>KH019</v>
      </c>
      <c r="H60" s="4" t="str">
        <f>_xlfn.XLOOKUP(O60,产品信息表!$A$4:$A$15,产品信息表!$C$4:$C$15)</f>
        <v>办公耗材</v>
      </c>
      <c r="I60" s="30">
        <f>DATE(MID(A60,4,4),MID(A60,8,2),MID(A60,10,2))</f>
        <v>46116</v>
      </c>
      <c r="J60" s="4" t="str">
        <f t="shared" si="1"/>
        <v>0056</v>
      </c>
      <c r="K60" s="4" t="str">
        <f>VLOOKUP(D60,客户信息表!$A$3:$H$23,5,0)</f>
        <v>B</v>
      </c>
      <c r="L60" s="6" t="s">
        <v>37</v>
      </c>
      <c r="M60" s="6" t="s">
        <v>38</v>
      </c>
      <c r="N60" s="2" t="str">
        <f t="shared" si="2"/>
        <v>华北</v>
      </c>
      <c r="O60" s="6" t="s">
        <v>39</v>
      </c>
      <c r="P60" s="8" t="s">
        <v>40</v>
      </c>
      <c r="Q60" s="9">
        <v>128</v>
      </c>
      <c r="R60" s="6"/>
      <c r="S60" s="2">
        <f t="shared" si="3"/>
        <v>92</v>
      </c>
      <c r="T60" s="2">
        <f>VLOOKUP(S60,折扣阶梯!$A$3:$C$7,2,TRUE)</f>
        <v>0.9</v>
      </c>
      <c r="U60" s="9">
        <v>11776</v>
      </c>
      <c r="V60" s="5">
        <f t="shared" si="4"/>
        <v>11776</v>
      </c>
      <c r="W60" s="6" t="s">
        <v>14</v>
      </c>
      <c r="X60">
        <f t="shared" si="5"/>
        <v>10598.4</v>
      </c>
      <c r="Y60">
        <f>_xlfn.XLOOKUP(O60,产品信息表!$A$4:$A$15,产品信息表!$E$4:$E$15)</f>
        <v>95</v>
      </c>
      <c r="Z60" s="31">
        <f t="shared" si="6"/>
        <v>0.17534722222222218</v>
      </c>
      <c r="AA60">
        <f t="shared" si="7"/>
        <v>69</v>
      </c>
    </row>
    <row r="61" spans="1:27" ht="14.5">
      <c r="A61" s="2" t="s">
        <v>164</v>
      </c>
      <c r="B61" s="3">
        <v>46117</v>
      </c>
      <c r="C61" s="3" t="str">
        <f t="shared" si="0"/>
        <v>2026-04-05</v>
      </c>
      <c r="D61" s="2" t="s">
        <v>16</v>
      </c>
      <c r="E61" s="2" t="str">
        <f>VLOOKUP(D61,客户信息表!A$3:H$23,2,0)</f>
        <v>上海锦程贸易</v>
      </c>
      <c r="F61" s="4" t="s">
        <v>17</v>
      </c>
      <c r="G61" s="4" t="str">
        <f>INDEX(客户信息表!$A$4:$H$23,MATCH(F61,客户信息表!$B$4:$B$23,0),1)</f>
        <v>KH002</v>
      </c>
      <c r="H61" s="4" t="str">
        <f>_xlfn.XLOOKUP(O61,产品信息表!$A$4:$A$15,产品信息表!$C$4:$C$15)</f>
        <v>办公设备</v>
      </c>
      <c r="I61" s="30">
        <f>DATE(MID(A61,4,4),MID(A61,8,2),MID(A61,10,2))</f>
        <v>46117</v>
      </c>
      <c r="J61" s="4" t="str">
        <f t="shared" si="1"/>
        <v>0057</v>
      </c>
      <c r="K61" s="4" t="str">
        <f>VLOOKUP(D61,客户信息表!$A$3:$H$23,5,0)</f>
        <v>B</v>
      </c>
      <c r="L61" s="2" t="s">
        <v>55</v>
      </c>
      <c r="M61" s="2" t="s">
        <v>19</v>
      </c>
      <c r="N61" s="2" t="str">
        <f t="shared" si="2"/>
        <v>华东</v>
      </c>
      <c r="O61" s="2" t="s">
        <v>26</v>
      </c>
      <c r="P61" s="4" t="s">
        <v>165</v>
      </c>
      <c r="Q61" s="5">
        <v>899</v>
      </c>
      <c r="R61" s="2">
        <v>7</v>
      </c>
      <c r="S61" s="2">
        <f t="shared" si="3"/>
        <v>7</v>
      </c>
      <c r="T61" s="2">
        <f>VLOOKUP(S61,折扣阶梯!$A$3:$C$7,2,TRUE)</f>
        <v>1</v>
      </c>
      <c r="U61" s="5">
        <v>6293</v>
      </c>
      <c r="V61" s="5">
        <f t="shared" si="4"/>
        <v>6293</v>
      </c>
      <c r="W61" s="2" t="s">
        <v>50</v>
      </c>
      <c r="X61">
        <f t="shared" si="5"/>
        <v>6293</v>
      </c>
      <c r="Y61">
        <f>_xlfn.XLOOKUP(O61,产品信息表!$A$4:$A$15,产品信息表!$E$4:$E$15)</f>
        <v>620</v>
      </c>
      <c r="Z61" s="31">
        <f t="shared" si="6"/>
        <v>0.31034482758620691</v>
      </c>
      <c r="AA61">
        <f t="shared" si="7"/>
        <v>94</v>
      </c>
    </row>
    <row r="62" spans="1:27" ht="14.5">
      <c r="A62" s="6" t="s">
        <v>166</v>
      </c>
      <c r="B62" s="7">
        <v>46117</v>
      </c>
      <c r="C62" s="3" t="str">
        <f t="shared" si="0"/>
        <v>2026-04-05</v>
      </c>
      <c r="D62" s="6" t="s">
        <v>60</v>
      </c>
      <c r="E62" s="2" t="str">
        <f>VLOOKUP(D62,客户信息表!A$3:H$23,2,0)</f>
        <v>杭州云图信息</v>
      </c>
      <c r="F62" s="8" t="s">
        <v>61</v>
      </c>
      <c r="G62" s="4" t="str">
        <f>INDEX(客户信息表!$A$4:$H$23,MATCH(F62,客户信息表!$B$4:$B$23,0),1)</f>
        <v>KH005</v>
      </c>
      <c r="H62" s="4" t="str">
        <f>_xlfn.XLOOKUP(O62,产品信息表!$A$4:$A$15,产品信息表!$C$4:$C$15)</f>
        <v>办公耗材</v>
      </c>
      <c r="I62" s="30">
        <f>DATE(MID(A62,4,4),MID(A62,8,2),MID(A62,10,2))</f>
        <v>46117</v>
      </c>
      <c r="J62" s="4" t="str">
        <f t="shared" si="1"/>
        <v>0058</v>
      </c>
      <c r="K62" s="4" t="str">
        <f>VLOOKUP(D62,客户信息表!$A$3:$H$23,5,0)</f>
        <v>A</v>
      </c>
      <c r="L62" s="6" t="s">
        <v>67</v>
      </c>
      <c r="M62" s="6" t="s">
        <v>19</v>
      </c>
      <c r="N62" s="2" t="str">
        <f t="shared" si="2"/>
        <v>华东</v>
      </c>
      <c r="O62" s="6" t="s">
        <v>48</v>
      </c>
      <c r="P62" s="8" t="s">
        <v>49</v>
      </c>
      <c r="Q62" s="9">
        <v>45</v>
      </c>
      <c r="R62" s="6">
        <v>94</v>
      </c>
      <c r="S62" s="2">
        <f t="shared" si="3"/>
        <v>94</v>
      </c>
      <c r="T62" s="2">
        <f>VLOOKUP(S62,折扣阶梯!$A$3:$C$7,2,TRUE)</f>
        <v>0.9</v>
      </c>
      <c r="U62" s="9">
        <v>4230</v>
      </c>
      <c r="V62" s="5">
        <f t="shared" si="4"/>
        <v>4230</v>
      </c>
      <c r="W62" s="6" t="s">
        <v>50</v>
      </c>
      <c r="X62">
        <f t="shared" si="5"/>
        <v>3807</v>
      </c>
      <c r="Y62">
        <f>_xlfn.XLOOKUP(O62,产品信息表!$A$4:$A$15,产品信息表!$E$4:$E$15)</f>
        <v>28</v>
      </c>
      <c r="Z62" s="31">
        <f t="shared" si="6"/>
        <v>0.30864197530864196</v>
      </c>
      <c r="AA62">
        <f t="shared" si="7"/>
        <v>110</v>
      </c>
    </row>
    <row r="63" spans="1:27" ht="14.5">
      <c r="A63" s="2" t="s">
        <v>167</v>
      </c>
      <c r="B63" s="3">
        <v>46119</v>
      </c>
      <c r="C63" s="3" t="str">
        <f t="shared" si="0"/>
        <v>2026-04-07</v>
      </c>
      <c r="D63" s="2" t="s">
        <v>60</v>
      </c>
      <c r="E63" s="2" t="str">
        <f>VLOOKUP(D63,客户信息表!A$3:H$23,2,0)</f>
        <v>杭州云图信息</v>
      </c>
      <c r="F63" s="4" t="s">
        <v>61</v>
      </c>
      <c r="G63" s="4" t="str">
        <f>INDEX(客户信息表!$A$4:$H$23,MATCH(F63,客户信息表!$B$4:$B$23,0),1)</f>
        <v>KH005</v>
      </c>
      <c r="H63" s="4" t="str">
        <f>_xlfn.XLOOKUP(O63,产品信息表!$A$4:$A$15,产品信息表!$C$4:$C$15)</f>
        <v>办公耗材</v>
      </c>
      <c r="I63" s="30">
        <f>DATE(MID(A63,4,4),MID(A63,8,2),MID(A63,10,2))</f>
        <v>46119</v>
      </c>
      <c r="J63" s="4" t="str">
        <f t="shared" si="1"/>
        <v>0059</v>
      </c>
      <c r="K63" s="4" t="str">
        <f>VLOOKUP(D63,客户信息表!$A$3:$H$23,5,0)</f>
        <v>A</v>
      </c>
      <c r="L63" s="2" t="s">
        <v>37</v>
      </c>
      <c r="M63" s="2" t="s">
        <v>19</v>
      </c>
      <c r="N63" s="2" t="str">
        <f t="shared" si="2"/>
        <v>华东</v>
      </c>
      <c r="O63" s="2" t="s">
        <v>39</v>
      </c>
      <c r="P63" s="4" t="s">
        <v>40</v>
      </c>
      <c r="Q63" s="5">
        <v>128</v>
      </c>
      <c r="R63" s="2">
        <v>55</v>
      </c>
      <c r="S63" s="2">
        <f t="shared" si="3"/>
        <v>55</v>
      </c>
      <c r="T63" s="2">
        <f>VLOOKUP(S63,折扣阶梯!$A$3:$C$7,2,TRUE)</f>
        <v>0.9</v>
      </c>
      <c r="U63" s="10" t="s">
        <v>168</v>
      </c>
      <c r="V63" s="5">
        <f t="shared" si="4"/>
        <v>7040</v>
      </c>
      <c r="W63" s="2" t="s">
        <v>14</v>
      </c>
      <c r="X63">
        <f t="shared" si="5"/>
        <v>6336</v>
      </c>
      <c r="Y63">
        <f>_xlfn.XLOOKUP(O63,产品信息表!$A$4:$A$15,产品信息表!$E$4:$E$15)</f>
        <v>95</v>
      </c>
      <c r="Z63" s="31">
        <f t="shared" si="6"/>
        <v>0.17534722222222221</v>
      </c>
      <c r="AA63">
        <f t="shared" si="7"/>
        <v>88</v>
      </c>
    </row>
    <row r="64" spans="1:27" ht="14.5">
      <c r="A64" s="6" t="s">
        <v>169</v>
      </c>
      <c r="B64" s="7">
        <v>46124</v>
      </c>
      <c r="C64" s="3" t="str">
        <f t="shared" si="0"/>
        <v>2026-04-12</v>
      </c>
      <c r="D64" s="6" t="s">
        <v>9</v>
      </c>
      <c r="E64" s="2" t="str">
        <f>VLOOKUP(D64,客户信息表!A$3:H$23,2,0)</f>
        <v>广州启航教育</v>
      </c>
      <c r="F64" s="8" t="s">
        <v>10</v>
      </c>
      <c r="G64" s="4" t="str">
        <f>INDEX(客户信息表!$A$4:$H$23,MATCH(F64,客户信息表!$B$4:$B$23,0),1)</f>
        <v>KH003</v>
      </c>
      <c r="H64" s="4" t="str">
        <f>_xlfn.XLOOKUP(O64,产品信息表!$A$4:$A$15,产品信息表!$C$4:$C$15)</f>
        <v>办公耗材</v>
      </c>
      <c r="I64" s="30">
        <f>DATE(MID(A64,4,4),MID(A64,8,2),MID(A64,10,2))</f>
        <v>46124</v>
      </c>
      <c r="J64" s="4" t="str">
        <f t="shared" si="1"/>
        <v>0060</v>
      </c>
      <c r="K64" s="4" t="str">
        <f>VLOOKUP(D64,客户信息表!$A$3:$H$23,5,0)</f>
        <v>A</v>
      </c>
      <c r="L64" s="6" t="s">
        <v>11</v>
      </c>
      <c r="M64" s="6" t="s">
        <v>25</v>
      </c>
      <c r="N64" s="2" t="str">
        <f t="shared" si="2"/>
        <v>华南</v>
      </c>
      <c r="O64" s="6" t="s">
        <v>48</v>
      </c>
      <c r="P64" s="8" t="s">
        <v>49</v>
      </c>
      <c r="Q64" s="9">
        <v>45</v>
      </c>
      <c r="R64" s="6">
        <v>11</v>
      </c>
      <c r="S64" s="2">
        <f t="shared" si="3"/>
        <v>11</v>
      </c>
      <c r="T64" s="2">
        <f>VLOOKUP(S64,折扣阶梯!$A$3:$C$7,2,TRUE)</f>
        <v>0.95</v>
      </c>
      <c r="U64" s="9">
        <v>495</v>
      </c>
      <c r="V64" s="5">
        <f t="shared" si="4"/>
        <v>495</v>
      </c>
      <c r="W64" s="6" t="s">
        <v>14</v>
      </c>
      <c r="X64">
        <f t="shared" si="5"/>
        <v>470.25</v>
      </c>
      <c r="Y64">
        <f>_xlfn.XLOOKUP(O64,产品信息表!$A$4:$A$15,产品信息表!$E$4:$E$15)</f>
        <v>28</v>
      </c>
      <c r="Z64" s="31">
        <f t="shared" si="6"/>
        <v>0.34502923976608185</v>
      </c>
      <c r="AA64">
        <f t="shared" si="7"/>
        <v>140</v>
      </c>
    </row>
    <row r="65" spans="1:27" ht="14.5">
      <c r="A65" s="2" t="s">
        <v>170</v>
      </c>
      <c r="B65" s="3">
        <v>46124</v>
      </c>
      <c r="C65" s="3" t="str">
        <f t="shared" si="0"/>
        <v>2026-04-12</v>
      </c>
      <c r="D65" s="2" t="s">
        <v>71</v>
      </c>
      <c r="E65" s="2" t="str">
        <f>VLOOKUP(D65,客户信息表!A$3:H$23,2,0)</f>
        <v>成都天府商贸</v>
      </c>
      <c r="F65" s="4" t="s">
        <v>72</v>
      </c>
      <c r="G65" s="4" t="str">
        <f>INDEX(客户信息表!$A$4:$H$23,MATCH(F65,客户信息表!$B$4:$B$23,0),1)</f>
        <v>KH006</v>
      </c>
      <c r="H65" s="4" t="str">
        <f>_xlfn.XLOOKUP(O65,产品信息表!$A$4:$A$15,产品信息表!$C$4:$C$15)</f>
        <v>办公耗材</v>
      </c>
      <c r="I65" s="30">
        <f>DATE(MID(A65,4,4),MID(A65,8,2),MID(A65,10,2))</f>
        <v>46124</v>
      </c>
      <c r="J65" s="4" t="str">
        <f t="shared" si="1"/>
        <v>0061</v>
      </c>
      <c r="K65" s="4" t="str">
        <f>VLOOKUP(D65,客户信息表!$A$3:$H$23,5,0)</f>
        <v>C</v>
      </c>
      <c r="L65" s="2" t="s">
        <v>37</v>
      </c>
      <c r="M65" s="2" t="s">
        <v>68</v>
      </c>
      <c r="N65" s="2" t="str">
        <f t="shared" si="2"/>
        <v>西南</v>
      </c>
      <c r="O65" s="2" t="s">
        <v>48</v>
      </c>
      <c r="P65" s="4" t="s">
        <v>49</v>
      </c>
      <c r="Q65" s="5">
        <v>45</v>
      </c>
      <c r="R65" s="2">
        <v>109</v>
      </c>
      <c r="S65" s="2">
        <f t="shared" si="3"/>
        <v>109</v>
      </c>
      <c r="T65" s="2">
        <f>VLOOKUP(S65,折扣阶梯!$A$3:$C$7,2,TRUE)</f>
        <v>0.85</v>
      </c>
      <c r="U65" s="5">
        <v>4905</v>
      </c>
      <c r="V65" s="5">
        <f t="shared" si="4"/>
        <v>4905</v>
      </c>
      <c r="W65" s="2" t="s">
        <v>22</v>
      </c>
      <c r="X65">
        <f t="shared" si="5"/>
        <v>4169.25</v>
      </c>
      <c r="Y65">
        <f>_xlfn.XLOOKUP(O65,产品信息表!$A$4:$A$15,产品信息表!$E$4:$E$15)</f>
        <v>28</v>
      </c>
      <c r="Z65" s="31">
        <f t="shared" si="6"/>
        <v>0.26797385620915032</v>
      </c>
      <c r="AA65">
        <f t="shared" si="7"/>
        <v>104</v>
      </c>
    </row>
    <row r="66" spans="1:27" ht="14.5">
      <c r="A66" s="6" t="s">
        <v>171</v>
      </c>
      <c r="B66" s="7">
        <v>46125</v>
      </c>
      <c r="C66" s="3" t="str">
        <f t="shared" si="0"/>
        <v>2026-04-13</v>
      </c>
      <c r="D66" s="6" t="s">
        <v>76</v>
      </c>
      <c r="E66" s="2" t="str">
        <f>VLOOKUP(D66,客户信息表!A$3:H$23,2,0)</f>
        <v>北京华信科技</v>
      </c>
      <c r="F66" s="8" t="s">
        <v>77</v>
      </c>
      <c r="G66" s="4" t="str">
        <f>INDEX(客户信息表!$A$4:$H$23,MATCH(F66,客户信息表!$B$4:$B$23,0),1)</f>
        <v>KH001</v>
      </c>
      <c r="H66" s="4" t="str">
        <f>_xlfn.XLOOKUP(O66,产品信息表!$A$4:$A$15,产品信息表!$C$4:$C$15)</f>
        <v>电子数码</v>
      </c>
      <c r="I66" s="30">
        <f>DATE(MID(A66,4,4),MID(A66,8,2),MID(A66,10,2))</f>
        <v>46125</v>
      </c>
      <c r="J66" s="4" t="str">
        <f t="shared" si="1"/>
        <v>0062</v>
      </c>
      <c r="K66" s="4" t="str">
        <f>VLOOKUP(D66,客户信息表!$A$3:$H$23,5,0)</f>
        <v>A</v>
      </c>
      <c r="L66" s="6" t="s">
        <v>37</v>
      </c>
      <c r="M66" s="6" t="s">
        <v>38</v>
      </c>
      <c r="N66" s="2" t="str">
        <f t="shared" si="2"/>
        <v>华北</v>
      </c>
      <c r="O66" s="6" t="s">
        <v>62</v>
      </c>
      <c r="P66" s="8" t="s">
        <v>63</v>
      </c>
      <c r="Q66" s="9">
        <v>1299</v>
      </c>
      <c r="R66" s="6">
        <v>3</v>
      </c>
      <c r="S66" s="2">
        <f t="shared" si="3"/>
        <v>3</v>
      </c>
      <c r="T66" s="2">
        <f>VLOOKUP(S66,折扣阶梯!$A$3:$C$7,2,TRUE)</f>
        <v>1</v>
      </c>
      <c r="U66" s="9">
        <v>3897</v>
      </c>
      <c r="V66" s="5">
        <f t="shared" si="4"/>
        <v>3897</v>
      </c>
      <c r="W66" s="6" t="s">
        <v>50</v>
      </c>
      <c r="X66">
        <f t="shared" si="5"/>
        <v>3897</v>
      </c>
      <c r="Y66">
        <f>_xlfn.XLOOKUP(O66,产品信息表!$A$4:$A$15,产品信息表!$E$4:$E$15)</f>
        <v>950</v>
      </c>
      <c r="Z66" s="31">
        <f t="shared" si="6"/>
        <v>0.26866820631254812</v>
      </c>
      <c r="AA66">
        <f t="shared" si="7"/>
        <v>109</v>
      </c>
    </row>
    <row r="67" spans="1:27" ht="14.5">
      <c r="A67" s="2" t="s">
        <v>172</v>
      </c>
      <c r="B67" s="3">
        <v>46125</v>
      </c>
      <c r="C67" s="3" t="str">
        <f t="shared" ref="C67:C130" si="8">TEXT(SUBSTITUTE(B67,".","/"),"yyyy-mm-dd")</f>
        <v>2026-04-13</v>
      </c>
      <c r="D67" s="2" t="s">
        <v>16</v>
      </c>
      <c r="E67" s="2" t="str">
        <f>VLOOKUP(D67,客户信息表!A$3:H$23,2,0)</f>
        <v>上海锦程贸易</v>
      </c>
      <c r="F67" s="4" t="s">
        <v>17</v>
      </c>
      <c r="G67" s="4" t="str">
        <f>INDEX(客户信息表!$A$4:$H$23,MATCH(F67,客户信息表!$B$4:$B$23,0),1)</f>
        <v>KH002</v>
      </c>
      <c r="H67" s="4" t="str">
        <f>_xlfn.XLOOKUP(O67,产品信息表!$A$4:$A$15,产品信息表!$C$4:$C$15)</f>
        <v>办公耗材</v>
      </c>
      <c r="I67" s="30">
        <f>DATE(MID(A67,4,4),MID(A67,8,2),MID(A67,10,2))</f>
        <v>46125</v>
      </c>
      <c r="J67" s="4" t="str">
        <f t="shared" ref="J67:J130" si="9">RIGHT(A67,4)</f>
        <v>0063</v>
      </c>
      <c r="K67" s="4" t="str">
        <f>VLOOKUP(D67,客户信息表!$A$3:$H$23,5,0)</f>
        <v>B</v>
      </c>
      <c r="L67" s="2" t="s">
        <v>78</v>
      </c>
      <c r="M67" s="2" t="s">
        <v>19</v>
      </c>
      <c r="N67" s="2" t="str">
        <f t="shared" ref="N67:N130" si="10">SUBSTITUTE(TRIM(M67),"区","")</f>
        <v>华东</v>
      </c>
      <c r="O67" s="2" t="s">
        <v>73</v>
      </c>
      <c r="P67" s="4" t="s">
        <v>74</v>
      </c>
      <c r="Q67" s="5">
        <v>385</v>
      </c>
      <c r="R67" s="2">
        <v>100</v>
      </c>
      <c r="S67" s="2">
        <f t="shared" ref="S67:S130" si="11">IF(ISBLANK(R67),U67/Q67,VALUE(R67))</f>
        <v>100</v>
      </c>
      <c r="T67" s="2">
        <f>VLOOKUP(S67,折扣阶梯!$A$3:$C$7,2,TRUE)</f>
        <v>0.85</v>
      </c>
      <c r="U67" s="5">
        <v>38500</v>
      </c>
      <c r="V67" s="5">
        <f t="shared" ref="V67:V130" si="12">IF(Q67*S67=VALUE(SUBSTITUTE(U67,"¥","")),VALUE(SUBSTITUTE(U67,"¥","")),Q67*S67)</f>
        <v>38500</v>
      </c>
      <c r="W67" s="2" t="s">
        <v>89</v>
      </c>
      <c r="X67">
        <f t="shared" ref="X67:X130" si="13">V67*T67</f>
        <v>32725</v>
      </c>
      <c r="Y67">
        <f>_xlfn.XLOOKUP(O67,产品信息表!$A$4:$A$15,产品信息表!$E$4:$E$15)</f>
        <v>260</v>
      </c>
      <c r="Z67" s="31">
        <f t="shared" ref="Z67:Z130" si="14">(X67-Y67*S67)/X67</f>
        <v>0.2055003819709702</v>
      </c>
      <c r="AA67">
        <f t="shared" ref="AA67:AA130" si="15">_xlfn.RANK.EQ(V67,V67:V268,0)</f>
        <v>10</v>
      </c>
    </row>
    <row r="68" spans="1:27" ht="14.5">
      <c r="A68" s="6" t="s">
        <v>173</v>
      </c>
      <c r="B68" s="7">
        <v>46125</v>
      </c>
      <c r="C68" s="3" t="str">
        <f t="shared" si="8"/>
        <v>2026-04-13</v>
      </c>
      <c r="D68" s="6" t="s">
        <v>76</v>
      </c>
      <c r="E68" s="2" t="str">
        <f>VLOOKUP(D68,客户信息表!A$3:H$23,2,0)</f>
        <v>北京华信科技</v>
      </c>
      <c r="F68" s="8" t="s">
        <v>77</v>
      </c>
      <c r="G68" s="4" t="str">
        <f>INDEX(客户信息表!$A$4:$H$23,MATCH(F68,客户信息表!$B$4:$B$23,0),1)</f>
        <v>KH001</v>
      </c>
      <c r="H68" s="4" t="str">
        <f>_xlfn.XLOOKUP(O68,产品信息表!$A$4:$A$15,产品信息表!$C$4:$C$15)</f>
        <v>电子数码</v>
      </c>
      <c r="I68" s="30">
        <f>DATE(MID(A68,4,4),MID(A68,8,2),MID(A68,10,2))</f>
        <v>46125</v>
      </c>
      <c r="J68" s="4" t="str">
        <f t="shared" si="9"/>
        <v>0064</v>
      </c>
      <c r="K68" s="4" t="str">
        <f>VLOOKUP(D68,客户信息表!$A$3:$H$23,5,0)</f>
        <v>A</v>
      </c>
      <c r="L68" s="6" t="s">
        <v>37</v>
      </c>
      <c r="M68" s="6" t="s">
        <v>174</v>
      </c>
      <c r="N68" s="2" t="str">
        <f t="shared" si="10"/>
        <v>华北</v>
      </c>
      <c r="O68" s="6" t="s">
        <v>62</v>
      </c>
      <c r="P68" s="8" t="s">
        <v>63</v>
      </c>
      <c r="Q68" s="9">
        <v>1299</v>
      </c>
      <c r="R68" s="6">
        <v>9</v>
      </c>
      <c r="S68" s="2">
        <f t="shared" si="11"/>
        <v>9</v>
      </c>
      <c r="T68" s="2">
        <f>VLOOKUP(S68,折扣阶梯!$A$3:$C$7,2,TRUE)</f>
        <v>1</v>
      </c>
      <c r="U68" s="9">
        <v>11691</v>
      </c>
      <c r="V68" s="5">
        <f t="shared" si="12"/>
        <v>11691</v>
      </c>
      <c r="W68" s="6" t="s">
        <v>22</v>
      </c>
      <c r="X68">
        <f t="shared" si="13"/>
        <v>11691</v>
      </c>
      <c r="Y68">
        <f>_xlfn.XLOOKUP(O68,产品信息表!$A$4:$A$15,产品信息表!$E$4:$E$15)</f>
        <v>950</v>
      </c>
      <c r="Z68" s="31">
        <f t="shared" si="14"/>
        <v>0.26866820631254812</v>
      </c>
      <c r="AA68">
        <f t="shared" si="15"/>
        <v>68</v>
      </c>
    </row>
    <row r="69" spans="1:27" ht="14.5">
      <c r="A69" s="2" t="s">
        <v>175</v>
      </c>
      <c r="B69" s="3">
        <v>46130</v>
      </c>
      <c r="C69" s="3" t="str">
        <f t="shared" si="8"/>
        <v>2026-04-18</v>
      </c>
      <c r="D69" s="2" t="s">
        <v>149</v>
      </c>
      <c r="E69" s="2" t="str">
        <f>VLOOKUP(D69,客户信息表!A$3:H$23,2,0)</f>
        <v>深圳蓝鲸网络</v>
      </c>
      <c r="F69" s="4" t="s">
        <v>150</v>
      </c>
      <c r="G69" s="4" t="str">
        <f>INDEX(客户信息表!$A$4:$H$23,MATCH(F69,客户信息表!$B$4:$B$23,0),1)</f>
        <v>KH004</v>
      </c>
      <c r="H69" s="4" t="str">
        <f>_xlfn.XLOOKUP(O69,产品信息表!$A$4:$A$15,产品信息表!$C$4:$C$15)</f>
        <v>办公设备</v>
      </c>
      <c r="I69" s="30">
        <f>DATE(MID(A69,4,4),MID(A69,8,2),MID(A69,10,2))</f>
        <v>46130</v>
      </c>
      <c r="J69" s="4" t="str">
        <f t="shared" si="9"/>
        <v>0065</v>
      </c>
      <c r="K69" s="4" t="str">
        <f>VLOOKUP(D69,客户信息表!$A$3:$H$23,5,0)</f>
        <v>B</v>
      </c>
      <c r="L69" s="2" t="s">
        <v>11</v>
      </c>
      <c r="M69" s="2" t="s">
        <v>25</v>
      </c>
      <c r="N69" s="2" t="str">
        <f t="shared" si="10"/>
        <v>华南</v>
      </c>
      <c r="O69" s="2" t="s">
        <v>176</v>
      </c>
      <c r="P69" s="4" t="s">
        <v>177</v>
      </c>
      <c r="Q69" s="5">
        <v>3599</v>
      </c>
      <c r="R69" s="2" t="s">
        <v>178</v>
      </c>
      <c r="S69" s="2">
        <f t="shared" si="11"/>
        <v>6</v>
      </c>
      <c r="T69" s="2">
        <f>VLOOKUP(S69,折扣阶梯!$A$3:$C$7,2,TRUE)</f>
        <v>1</v>
      </c>
      <c r="U69" s="5">
        <v>21594</v>
      </c>
      <c r="V69" s="5">
        <f t="shared" si="12"/>
        <v>21594</v>
      </c>
      <c r="W69" s="2" t="s">
        <v>50</v>
      </c>
      <c r="X69">
        <f t="shared" si="13"/>
        <v>21594</v>
      </c>
      <c r="Y69">
        <f>_xlfn.XLOOKUP(O69,产品信息表!$A$4:$A$15,产品信息表!$E$4:$E$15)</f>
        <v>2700</v>
      </c>
      <c r="Z69" s="31">
        <f t="shared" si="14"/>
        <v>0.24979160878021672</v>
      </c>
      <c r="AA69">
        <f t="shared" si="15"/>
        <v>35</v>
      </c>
    </row>
    <row r="70" spans="1:27" ht="14.5">
      <c r="A70" s="6" t="s">
        <v>179</v>
      </c>
      <c r="B70" s="7">
        <v>46130</v>
      </c>
      <c r="C70" s="3" t="str">
        <f t="shared" si="8"/>
        <v>2026-04-18</v>
      </c>
      <c r="D70" s="6" t="s">
        <v>84</v>
      </c>
      <c r="E70" s="2" t="str">
        <f>VLOOKUP(D70,客户信息表!A$3:H$23,2,0)</f>
        <v>昆明滇池科技</v>
      </c>
      <c r="F70" s="8" t="s">
        <v>85</v>
      </c>
      <c r="G70" s="4" t="str">
        <f>INDEX(客户信息表!$A$4:$H$23,MATCH(F70,客户信息表!$B$4:$B$23,0),1)</f>
        <v>KH016</v>
      </c>
      <c r="H70" s="4" t="str">
        <f>_xlfn.XLOOKUP(O70,产品信息表!$A$4:$A$15,产品信息表!$C$4:$C$15)</f>
        <v>办公设备</v>
      </c>
      <c r="I70" s="30">
        <f>DATE(MID(A70,4,4),MID(A70,8,2),MID(A70,10,2))</f>
        <v>46130</v>
      </c>
      <c r="J70" s="4" t="str">
        <f t="shared" si="9"/>
        <v>0066</v>
      </c>
      <c r="K70" s="4" t="str">
        <f>VLOOKUP(D70,客户信息表!$A$3:$H$23,5,0)</f>
        <v>C</v>
      </c>
      <c r="L70" s="6" t="s">
        <v>24</v>
      </c>
      <c r="M70" s="6" t="s">
        <v>68</v>
      </c>
      <c r="N70" s="2" t="str">
        <f t="shared" si="10"/>
        <v>西南</v>
      </c>
      <c r="O70" s="6" t="s">
        <v>176</v>
      </c>
      <c r="P70" s="8" t="s">
        <v>177</v>
      </c>
      <c r="Q70" s="9">
        <v>3599</v>
      </c>
      <c r="R70" s="6"/>
      <c r="S70" s="2">
        <f t="shared" si="11"/>
        <v>5</v>
      </c>
      <c r="T70" s="2">
        <f>VLOOKUP(S70,折扣阶梯!$A$3:$C$7,2,TRUE)</f>
        <v>1</v>
      </c>
      <c r="U70" s="9">
        <v>17995</v>
      </c>
      <c r="V70" s="5">
        <f t="shared" si="12"/>
        <v>17995</v>
      </c>
      <c r="W70" s="6" t="s">
        <v>22</v>
      </c>
      <c r="X70">
        <f t="shared" si="13"/>
        <v>17995</v>
      </c>
      <c r="Y70">
        <f>_xlfn.XLOOKUP(O70,产品信息表!$A$4:$A$15,产品信息表!$E$4:$E$15)</f>
        <v>2700</v>
      </c>
      <c r="Z70" s="31">
        <f t="shared" si="14"/>
        <v>0.24979160878021672</v>
      </c>
      <c r="AA70">
        <f t="shared" si="15"/>
        <v>47</v>
      </c>
    </row>
    <row r="71" spans="1:27" ht="14.5">
      <c r="A71" s="2" t="s">
        <v>180</v>
      </c>
      <c r="B71" s="3">
        <v>46131</v>
      </c>
      <c r="C71" s="3" t="str">
        <f t="shared" si="8"/>
        <v>2026-04-19</v>
      </c>
      <c r="D71" s="2" t="s">
        <v>71</v>
      </c>
      <c r="E71" s="2" t="str">
        <f>VLOOKUP(D71,客户信息表!A$3:H$23,2,0)</f>
        <v>成都天府商贸</v>
      </c>
      <c r="F71" s="4" t="s">
        <v>72</v>
      </c>
      <c r="G71" s="4" t="str">
        <f>INDEX(客户信息表!$A$4:$H$23,MATCH(F71,客户信息表!$B$4:$B$23,0),1)</f>
        <v>KH006</v>
      </c>
      <c r="H71" s="4" t="str">
        <f>_xlfn.XLOOKUP(O71,产品信息表!$A$4:$A$15,产品信息表!$C$4:$C$15)</f>
        <v>软件服务</v>
      </c>
      <c r="I71" s="30">
        <f>DATE(MID(A71,4,4),MID(A71,8,2),MID(A71,10,2))</f>
        <v>46131</v>
      </c>
      <c r="J71" s="4" t="str">
        <f t="shared" si="9"/>
        <v>0067</v>
      </c>
      <c r="K71" s="4" t="str">
        <f>VLOOKUP(D71,客户信息表!$A$3:$H$23,5,0)</f>
        <v>C</v>
      </c>
      <c r="L71" s="2" t="s">
        <v>67</v>
      </c>
      <c r="M71" s="2" t="s">
        <v>68</v>
      </c>
      <c r="N71" s="2" t="str">
        <f t="shared" si="10"/>
        <v>西南</v>
      </c>
      <c r="O71" s="2" t="s">
        <v>12</v>
      </c>
      <c r="P71" s="4" t="s">
        <v>13</v>
      </c>
      <c r="Q71" s="5">
        <v>699</v>
      </c>
      <c r="R71" s="2" t="s">
        <v>181</v>
      </c>
      <c r="S71" s="2">
        <f t="shared" si="11"/>
        <v>9</v>
      </c>
      <c r="T71" s="2">
        <f>VLOOKUP(S71,折扣阶梯!$A$3:$C$7,2,TRUE)</f>
        <v>1</v>
      </c>
      <c r="U71" s="5">
        <v>6291</v>
      </c>
      <c r="V71" s="5">
        <f t="shared" si="12"/>
        <v>6291</v>
      </c>
      <c r="W71" s="2" t="s">
        <v>89</v>
      </c>
      <c r="X71">
        <f t="shared" si="13"/>
        <v>6291</v>
      </c>
      <c r="Y71">
        <f>_xlfn.XLOOKUP(O71,产品信息表!$A$4:$A$15,产品信息表!$E$4:$E$15)</f>
        <v>300</v>
      </c>
      <c r="Z71" s="31">
        <f t="shared" si="14"/>
        <v>0.57081545064377681</v>
      </c>
      <c r="AA71">
        <f t="shared" si="15"/>
        <v>91</v>
      </c>
    </row>
    <row r="72" spans="1:27" ht="14.5">
      <c r="A72" s="6" t="s">
        <v>182</v>
      </c>
      <c r="B72" s="7">
        <v>46131</v>
      </c>
      <c r="C72" s="3" t="str">
        <f t="shared" si="8"/>
        <v>2026-04-19</v>
      </c>
      <c r="D72" s="6" t="s">
        <v>113</v>
      </c>
      <c r="E72" s="2" t="str">
        <f>VLOOKUP(D72,客户信息表!A$3:H$23,2,0)</f>
        <v>宁波海港实业</v>
      </c>
      <c r="F72" s="8" t="s">
        <v>114</v>
      </c>
      <c r="G72" s="4" t="str">
        <f>INDEX(客户信息表!$A$4:$H$23,MATCH(F72,客户信息表!$B$4:$B$23,0),1)</f>
        <v>KH014</v>
      </c>
      <c r="H72" s="4" t="str">
        <f>_xlfn.XLOOKUP(O72,产品信息表!$A$4:$A$15,产品信息表!$C$4:$C$15)</f>
        <v>电子数码</v>
      </c>
      <c r="I72" s="30">
        <f>DATE(MID(A72,4,4),MID(A72,8,2),MID(A72,10,2))</f>
        <v>46131</v>
      </c>
      <c r="J72" s="4" t="str">
        <f t="shared" si="9"/>
        <v>0068</v>
      </c>
      <c r="K72" s="4" t="str">
        <f>VLOOKUP(D72,客户信息表!$A$3:$H$23,5,0)</f>
        <v>B</v>
      </c>
      <c r="L72" s="6" t="s">
        <v>55</v>
      </c>
      <c r="M72" s="6" t="s">
        <v>19</v>
      </c>
      <c r="N72" s="2" t="str">
        <f t="shared" si="10"/>
        <v>华东</v>
      </c>
      <c r="O72" s="6" t="s">
        <v>20</v>
      </c>
      <c r="P72" s="8" t="s">
        <v>21</v>
      </c>
      <c r="Q72" s="9">
        <v>299</v>
      </c>
      <c r="R72" s="6">
        <v>10</v>
      </c>
      <c r="S72" s="2">
        <f t="shared" si="11"/>
        <v>10</v>
      </c>
      <c r="T72" s="2">
        <f>VLOOKUP(S72,折扣阶梯!$A$3:$C$7,2,TRUE)</f>
        <v>0.95</v>
      </c>
      <c r="U72" s="9">
        <v>2990</v>
      </c>
      <c r="V72" s="5">
        <f t="shared" si="12"/>
        <v>2990</v>
      </c>
      <c r="W72" s="6" t="s">
        <v>50</v>
      </c>
      <c r="X72">
        <f t="shared" si="13"/>
        <v>2840.5</v>
      </c>
      <c r="Y72">
        <f>_xlfn.XLOOKUP(O72,产品信息表!$A$4:$A$15,产品信息表!$E$4:$E$15)</f>
        <v>190</v>
      </c>
      <c r="Z72" s="31">
        <f t="shared" si="14"/>
        <v>0.33110367892976589</v>
      </c>
      <c r="AA72">
        <f t="shared" si="15"/>
        <v>113</v>
      </c>
    </row>
    <row r="73" spans="1:27" ht="14.5">
      <c r="A73" s="2" t="s">
        <v>183</v>
      </c>
      <c r="B73" s="3">
        <v>46131</v>
      </c>
      <c r="C73" s="3" t="str">
        <f t="shared" si="8"/>
        <v>2026-04-19</v>
      </c>
      <c r="D73" s="2" t="s">
        <v>142</v>
      </c>
      <c r="E73" s="2" t="str">
        <f>VLOOKUP(D73,客户信息表!A$3:H$23,2,0)</f>
        <v>佛山美的家电商贸</v>
      </c>
      <c r="F73" s="4" t="s">
        <v>143</v>
      </c>
      <c r="G73" s="4" t="str">
        <f>INDEX(客户信息表!$A$4:$H$23,MATCH(F73,客户信息表!$B$4:$B$23,0),1)</f>
        <v>KH015</v>
      </c>
      <c r="H73" s="4" t="str">
        <f>_xlfn.XLOOKUP(O73,产品信息表!$A$4:$A$15,产品信息表!$C$4:$C$15)</f>
        <v>办公设备</v>
      </c>
      <c r="I73" s="30">
        <f>DATE(MID(A73,4,4),MID(A73,8,2),MID(A73,10,2))</f>
        <v>46131</v>
      </c>
      <c r="J73" s="4" t="str">
        <f t="shared" si="9"/>
        <v>0069</v>
      </c>
      <c r="K73" s="4" t="str">
        <f>VLOOKUP(D73,客户信息表!$A$3:$H$23,5,0)</f>
        <v>A</v>
      </c>
      <c r="L73" s="2" t="s">
        <v>24</v>
      </c>
      <c r="M73" s="2" t="s">
        <v>25</v>
      </c>
      <c r="N73" s="2" t="str">
        <f t="shared" si="10"/>
        <v>华南</v>
      </c>
      <c r="O73" s="2" t="s">
        <v>176</v>
      </c>
      <c r="P73" s="4" t="s">
        <v>177</v>
      </c>
      <c r="Q73" s="5">
        <v>3599</v>
      </c>
      <c r="R73" s="2">
        <v>8</v>
      </c>
      <c r="S73" s="2">
        <f t="shared" si="11"/>
        <v>8</v>
      </c>
      <c r="T73" s="2">
        <f>VLOOKUP(S73,折扣阶梯!$A$3:$C$7,2,TRUE)</f>
        <v>1</v>
      </c>
      <c r="U73" s="5">
        <v>28792</v>
      </c>
      <c r="V73" s="5">
        <f t="shared" si="12"/>
        <v>28792</v>
      </c>
      <c r="W73" s="2" t="s">
        <v>50</v>
      </c>
      <c r="X73">
        <f t="shared" si="13"/>
        <v>28792</v>
      </c>
      <c r="Y73">
        <f>_xlfn.XLOOKUP(O73,产品信息表!$A$4:$A$15,产品信息表!$E$4:$E$15)</f>
        <v>2700</v>
      </c>
      <c r="Z73" s="31">
        <f t="shared" si="14"/>
        <v>0.24979160878021672</v>
      </c>
      <c r="AA73">
        <f t="shared" si="15"/>
        <v>15</v>
      </c>
    </row>
    <row r="74" spans="1:27" ht="14.5">
      <c r="A74" s="6" t="s">
        <v>184</v>
      </c>
      <c r="B74" s="7">
        <v>46132</v>
      </c>
      <c r="C74" s="3" t="str">
        <f t="shared" si="8"/>
        <v>2026-04-20</v>
      </c>
      <c r="D74" s="6" t="s">
        <v>139</v>
      </c>
      <c r="E74" s="2" t="str">
        <f>VLOOKUP(D74,客户信息表!A$3:H$23,2,0)</f>
        <v>石家庄振华商贸</v>
      </c>
      <c r="F74" s="8" t="s">
        <v>140</v>
      </c>
      <c r="G74" s="4" t="str">
        <f>INDEX(客户信息表!$A$4:$H$23,MATCH(F74,客户信息表!$B$4:$B$23,0),1)</f>
        <v>KH013</v>
      </c>
      <c r="H74" s="4" t="str">
        <f>_xlfn.XLOOKUP(O74,产品信息表!$A$4:$A$15,产品信息表!$C$4:$C$15)</f>
        <v>办公设备</v>
      </c>
      <c r="I74" s="30">
        <f>DATE(MID(A74,4,4),MID(A74,8,2),MID(A74,10,2))</f>
        <v>46132</v>
      </c>
      <c r="J74" s="4" t="str">
        <f t="shared" si="9"/>
        <v>0070</v>
      </c>
      <c r="K74" s="4" t="str">
        <f>VLOOKUP(D74,客户信息表!$A$3:$H$23,5,0)</f>
        <v>C</v>
      </c>
      <c r="L74" s="6" t="s">
        <v>55</v>
      </c>
      <c r="M74" s="6" t="s">
        <v>38</v>
      </c>
      <c r="N74" s="2" t="str">
        <f t="shared" si="10"/>
        <v>华北</v>
      </c>
      <c r="O74" s="6" t="s">
        <v>26</v>
      </c>
      <c r="P74" s="8" t="s">
        <v>27</v>
      </c>
      <c r="Q74" s="9">
        <v>899</v>
      </c>
      <c r="R74" s="6">
        <v>7</v>
      </c>
      <c r="S74" s="2">
        <f t="shared" si="11"/>
        <v>7</v>
      </c>
      <c r="T74" s="2">
        <f>VLOOKUP(S74,折扣阶梯!$A$3:$C$7,2,TRUE)</f>
        <v>1</v>
      </c>
      <c r="U74" s="9">
        <v>6293</v>
      </c>
      <c r="V74" s="5">
        <f t="shared" si="12"/>
        <v>6293</v>
      </c>
      <c r="W74" s="6" t="s">
        <v>50</v>
      </c>
      <c r="X74">
        <f t="shared" si="13"/>
        <v>6293</v>
      </c>
      <c r="Y74">
        <f>_xlfn.XLOOKUP(O74,产品信息表!$A$4:$A$15,产品信息表!$E$4:$E$15)</f>
        <v>620</v>
      </c>
      <c r="Z74" s="31">
        <f t="shared" si="14"/>
        <v>0.31034482758620691</v>
      </c>
      <c r="AA74">
        <f t="shared" si="15"/>
        <v>88</v>
      </c>
    </row>
    <row r="75" spans="1:27" ht="14.5">
      <c r="A75" s="2" t="s">
        <v>185</v>
      </c>
      <c r="B75" s="3">
        <v>46133</v>
      </c>
      <c r="C75" s="3" t="str">
        <f t="shared" si="8"/>
        <v>2026-04-21</v>
      </c>
      <c r="D75" s="2" t="s">
        <v>152</v>
      </c>
      <c r="E75" s="2" t="str">
        <f>VLOOKUP(D75,客户信息表!A$3:H$23,2,0)</f>
        <v>厦门鹭岛文创</v>
      </c>
      <c r="F75" s="4" t="s">
        <v>153</v>
      </c>
      <c r="G75" s="4" t="str">
        <f>INDEX(客户信息表!$A$4:$H$23,MATCH(F75,客户信息表!$B$4:$B$23,0),1)</f>
        <v>KH018</v>
      </c>
      <c r="H75" s="4" t="str">
        <f>_xlfn.XLOOKUP(O75,产品信息表!$A$4:$A$15,产品信息表!$C$4:$C$15)</f>
        <v>办公耗材</v>
      </c>
      <c r="I75" s="30">
        <f>DATE(MID(A75,4,4),MID(A75,8,2),MID(A75,10,2))</f>
        <v>46133</v>
      </c>
      <c r="J75" s="4" t="str">
        <f t="shared" si="9"/>
        <v>0071</v>
      </c>
      <c r="K75" s="4" t="str">
        <f>VLOOKUP(D75,客户信息表!$A$3:$H$23,5,0)</f>
        <v>C</v>
      </c>
      <c r="L75" s="2" t="s">
        <v>44</v>
      </c>
      <c r="M75" s="2" t="s">
        <v>25</v>
      </c>
      <c r="N75" s="2" t="str">
        <f t="shared" si="10"/>
        <v>华南</v>
      </c>
      <c r="O75" s="2" t="s">
        <v>73</v>
      </c>
      <c r="P75" s="4" t="s">
        <v>74</v>
      </c>
      <c r="Q75" s="5">
        <v>385</v>
      </c>
      <c r="R75" s="2">
        <v>73</v>
      </c>
      <c r="S75" s="2">
        <f t="shared" si="11"/>
        <v>73</v>
      </c>
      <c r="T75" s="2">
        <f>VLOOKUP(S75,折扣阶梯!$A$3:$C$7,2,TRUE)</f>
        <v>0.9</v>
      </c>
      <c r="U75" s="5">
        <v>28105</v>
      </c>
      <c r="V75" s="5">
        <f t="shared" si="12"/>
        <v>28105</v>
      </c>
      <c r="W75" s="2" t="s">
        <v>50</v>
      </c>
      <c r="X75">
        <f t="shared" si="13"/>
        <v>25294.5</v>
      </c>
      <c r="Y75">
        <f>_xlfn.XLOOKUP(O75,产品信息表!$A$4:$A$15,产品信息表!$E$4:$E$15)</f>
        <v>260</v>
      </c>
      <c r="Z75" s="31">
        <f t="shared" si="14"/>
        <v>0.24963924963924963</v>
      </c>
      <c r="AA75">
        <f t="shared" si="15"/>
        <v>17</v>
      </c>
    </row>
    <row r="76" spans="1:27" ht="14.5">
      <c r="A76" s="6" t="s">
        <v>186</v>
      </c>
      <c r="B76" s="7">
        <v>46134</v>
      </c>
      <c r="C76" s="3" t="str">
        <f t="shared" si="8"/>
        <v>2026-04-22</v>
      </c>
      <c r="D76" s="6" t="s">
        <v>9</v>
      </c>
      <c r="E76" s="2" t="str">
        <f>VLOOKUP(D76,客户信息表!A$3:H$23,2,0)</f>
        <v>广州启航教育</v>
      </c>
      <c r="F76" s="8" t="s">
        <v>153</v>
      </c>
      <c r="G76" s="4" t="str">
        <f>INDEX(客户信息表!$A$4:$H$23,MATCH(F76,客户信息表!$B$4:$B$23,0),1)</f>
        <v>KH018</v>
      </c>
      <c r="H76" s="4" t="str">
        <f>_xlfn.XLOOKUP(O76,产品信息表!$A$4:$A$15,产品信息表!$C$4:$C$15)</f>
        <v>电子数码</v>
      </c>
      <c r="I76" s="30">
        <f>DATE(MID(A76,4,4),MID(A76,8,2),MID(A76,10,2))</f>
        <v>46134</v>
      </c>
      <c r="J76" s="4" t="str">
        <f t="shared" si="9"/>
        <v>0072</v>
      </c>
      <c r="K76" s="4" t="str">
        <f>VLOOKUP(D76,客户信息表!$A$3:$H$23,5,0)</f>
        <v>A</v>
      </c>
      <c r="L76" s="6" t="s">
        <v>55</v>
      </c>
      <c r="M76" s="6" t="s">
        <v>25</v>
      </c>
      <c r="N76" s="2" t="str">
        <f t="shared" si="10"/>
        <v>华南</v>
      </c>
      <c r="O76" s="6" t="s">
        <v>20</v>
      </c>
      <c r="P76" s="8" t="s">
        <v>21</v>
      </c>
      <c r="Q76" s="9">
        <v>299</v>
      </c>
      <c r="R76" s="6">
        <v>12</v>
      </c>
      <c r="S76" s="2">
        <f t="shared" si="11"/>
        <v>12</v>
      </c>
      <c r="T76" s="2">
        <f>VLOOKUP(S76,折扣阶梯!$A$3:$C$7,2,TRUE)</f>
        <v>0.95</v>
      </c>
      <c r="U76" s="9">
        <v>3588</v>
      </c>
      <c r="V76" s="5">
        <f t="shared" si="12"/>
        <v>3588</v>
      </c>
      <c r="W76" s="6" t="s">
        <v>22</v>
      </c>
      <c r="X76">
        <f t="shared" si="13"/>
        <v>3408.6</v>
      </c>
      <c r="Y76">
        <f>_xlfn.XLOOKUP(O76,产品信息表!$A$4:$A$15,产品信息表!$E$4:$E$15)</f>
        <v>190</v>
      </c>
      <c r="Z76" s="31">
        <f t="shared" si="14"/>
        <v>0.33110367892976589</v>
      </c>
      <c r="AA76">
        <f t="shared" si="15"/>
        <v>105</v>
      </c>
    </row>
    <row r="77" spans="1:27" ht="14.5">
      <c r="A77" s="2" t="s">
        <v>187</v>
      </c>
      <c r="B77" s="3">
        <v>46135</v>
      </c>
      <c r="C77" s="3" t="str">
        <f t="shared" si="8"/>
        <v>2026-04-23</v>
      </c>
      <c r="D77" s="2" t="s">
        <v>71</v>
      </c>
      <c r="E77" s="2" t="str">
        <f>VLOOKUP(D77,客户信息表!A$3:H$23,2,0)</f>
        <v>成都天府商贸</v>
      </c>
      <c r="F77" s="4" t="s">
        <v>72</v>
      </c>
      <c r="G77" s="4" t="str">
        <f>INDEX(客户信息表!$A$4:$H$23,MATCH(F77,客户信息表!$B$4:$B$23,0),1)</f>
        <v>KH006</v>
      </c>
      <c r="H77" s="4" t="str">
        <f>_xlfn.XLOOKUP(O77,产品信息表!$A$4:$A$15,产品信息表!$C$4:$C$15)</f>
        <v>软件服务</v>
      </c>
      <c r="I77" s="30">
        <f>DATE(MID(A77,4,4),MID(A77,8,2),MID(A77,10,2))</f>
        <v>46135</v>
      </c>
      <c r="J77" s="4" t="str">
        <f t="shared" si="9"/>
        <v>0073</v>
      </c>
      <c r="K77" s="4" t="str">
        <f>VLOOKUP(D77,客户信息表!$A$3:$H$23,5,0)</f>
        <v>C</v>
      </c>
      <c r="L77" s="2" t="s">
        <v>44</v>
      </c>
      <c r="M77" s="2" t="s">
        <v>68</v>
      </c>
      <c r="N77" s="2" t="str">
        <f t="shared" si="10"/>
        <v>西南</v>
      </c>
      <c r="O77" s="2" t="s">
        <v>12</v>
      </c>
      <c r="P77" s="4" t="s">
        <v>13</v>
      </c>
      <c r="Q77" s="5">
        <v>699</v>
      </c>
      <c r="R77" s="2">
        <v>39</v>
      </c>
      <c r="S77" s="2">
        <f t="shared" si="11"/>
        <v>39</v>
      </c>
      <c r="T77" s="2">
        <f>VLOOKUP(S77,折扣阶梯!$A$3:$C$7,2,TRUE)</f>
        <v>0.95</v>
      </c>
      <c r="U77" s="5">
        <v>27261</v>
      </c>
      <c r="V77" s="5">
        <f t="shared" si="12"/>
        <v>27261</v>
      </c>
      <c r="W77" s="2" t="s">
        <v>50</v>
      </c>
      <c r="X77">
        <f t="shared" si="13"/>
        <v>25897.949999999997</v>
      </c>
      <c r="Y77">
        <f>_xlfn.XLOOKUP(O77,产品信息表!$A$4:$A$15,产品信息表!$E$4:$E$15)</f>
        <v>300</v>
      </c>
      <c r="Z77" s="31">
        <f t="shared" si="14"/>
        <v>0.54822679015134401</v>
      </c>
      <c r="AA77">
        <f t="shared" si="15"/>
        <v>18</v>
      </c>
    </row>
    <row r="78" spans="1:27" ht="14.5">
      <c r="A78" s="6" t="s">
        <v>188</v>
      </c>
      <c r="B78" s="7">
        <v>46135</v>
      </c>
      <c r="C78" s="3" t="str">
        <f t="shared" si="8"/>
        <v>2026-04-23</v>
      </c>
      <c r="D78" s="6" t="s">
        <v>125</v>
      </c>
      <c r="E78" s="2" t="str">
        <f>VLOOKUP(D78,客户信息表!A$3:H$23,2,0)</f>
        <v>南京紫金山软件园运营</v>
      </c>
      <c r="F78" s="8" t="s">
        <v>126</v>
      </c>
      <c r="G78" s="4" t="str">
        <f>INDEX(客户信息表!$A$4:$H$23,MATCH(F78,客户信息表!$B$4:$B$23,0),1)</f>
        <v>KH008</v>
      </c>
      <c r="H78" s="4" t="str">
        <f>_xlfn.XLOOKUP(O78,产品信息表!$A$4:$A$15,产品信息表!$C$4:$C$15)</f>
        <v>办公耗材</v>
      </c>
      <c r="I78" s="30">
        <f>DATE(MID(A78,4,4),MID(A78,8,2),MID(A78,10,2))</f>
        <v>46135</v>
      </c>
      <c r="J78" s="4" t="str">
        <f t="shared" si="9"/>
        <v>0074</v>
      </c>
      <c r="K78" s="4" t="str">
        <f>VLOOKUP(D78,客户信息表!$A$3:$H$23,5,0)</f>
        <v>C</v>
      </c>
      <c r="L78" s="6" t="s">
        <v>37</v>
      </c>
      <c r="M78" s="6" t="s">
        <v>19</v>
      </c>
      <c r="N78" s="2" t="str">
        <f t="shared" si="10"/>
        <v>华东</v>
      </c>
      <c r="O78" s="6" t="s">
        <v>39</v>
      </c>
      <c r="P78" s="8" t="s">
        <v>40</v>
      </c>
      <c r="Q78" s="9">
        <v>128</v>
      </c>
      <c r="R78" s="6">
        <v>104</v>
      </c>
      <c r="S78" s="2">
        <f t="shared" si="11"/>
        <v>104</v>
      </c>
      <c r="T78" s="2">
        <f>VLOOKUP(S78,折扣阶梯!$A$3:$C$7,2,TRUE)</f>
        <v>0.85</v>
      </c>
      <c r="U78" s="9">
        <v>13312</v>
      </c>
      <c r="V78" s="5">
        <f t="shared" si="12"/>
        <v>13312</v>
      </c>
      <c r="W78" s="6" t="s">
        <v>50</v>
      </c>
      <c r="X78">
        <f t="shared" si="13"/>
        <v>11315.199999999999</v>
      </c>
      <c r="Y78">
        <f>_xlfn.XLOOKUP(O78,产品信息表!$A$4:$A$15,产品信息表!$E$4:$E$15)</f>
        <v>95</v>
      </c>
      <c r="Z78" s="31">
        <f t="shared" si="14"/>
        <v>0.12683823529411756</v>
      </c>
      <c r="AA78">
        <f t="shared" si="15"/>
        <v>55</v>
      </c>
    </row>
    <row r="79" spans="1:27" ht="14.5">
      <c r="A79" s="2" t="s">
        <v>189</v>
      </c>
      <c r="B79" s="3">
        <v>46138</v>
      </c>
      <c r="C79" s="3" t="str">
        <f t="shared" si="8"/>
        <v>2026-04-26</v>
      </c>
      <c r="D79" s="2" t="s">
        <v>60</v>
      </c>
      <c r="E79" s="2" t="str">
        <f>VLOOKUP(D79,客户信息表!A$3:H$23,2,0)</f>
        <v>杭州云图信息</v>
      </c>
      <c r="F79" s="4" t="s">
        <v>61</v>
      </c>
      <c r="G79" s="4" t="str">
        <f>INDEX(客户信息表!$A$4:$H$23,MATCH(F79,客户信息表!$B$4:$B$23,0),1)</f>
        <v>KH005</v>
      </c>
      <c r="H79" s="4" t="str">
        <f>_xlfn.XLOOKUP(O79,产品信息表!$A$4:$A$15,产品信息表!$C$4:$C$15)</f>
        <v>办公设备</v>
      </c>
      <c r="I79" s="30">
        <f>DATE(MID(A79,4,4),MID(A79,8,2),MID(A79,10,2))</f>
        <v>46138</v>
      </c>
      <c r="J79" s="4" t="str">
        <f t="shared" si="9"/>
        <v>0075</v>
      </c>
      <c r="K79" s="4" t="str">
        <f>VLOOKUP(D79,客户信息表!$A$3:$H$23,5,0)</f>
        <v>A</v>
      </c>
      <c r="L79" s="2" t="s">
        <v>11</v>
      </c>
      <c r="M79" s="2" t="s">
        <v>19</v>
      </c>
      <c r="N79" s="2" t="str">
        <f t="shared" si="10"/>
        <v>华东</v>
      </c>
      <c r="O79" s="2" t="s">
        <v>26</v>
      </c>
      <c r="P79" s="4" t="s">
        <v>27</v>
      </c>
      <c r="Q79" s="5">
        <v>899</v>
      </c>
      <c r="R79" s="2">
        <v>5</v>
      </c>
      <c r="S79" s="2">
        <f t="shared" si="11"/>
        <v>5</v>
      </c>
      <c r="T79" s="2">
        <f>VLOOKUP(S79,折扣阶梯!$A$3:$C$7,2,TRUE)</f>
        <v>1</v>
      </c>
      <c r="U79" s="10" t="s">
        <v>190</v>
      </c>
      <c r="V79" s="5">
        <f t="shared" si="12"/>
        <v>4495</v>
      </c>
      <c r="W79" s="2" t="s">
        <v>50</v>
      </c>
      <c r="X79">
        <f t="shared" si="13"/>
        <v>4495</v>
      </c>
      <c r="Y79">
        <f>_xlfn.XLOOKUP(O79,产品信息表!$A$4:$A$15,产品信息表!$E$4:$E$15)</f>
        <v>620</v>
      </c>
      <c r="Z79" s="31">
        <f t="shared" si="14"/>
        <v>0.31034482758620691</v>
      </c>
      <c r="AA79">
        <f t="shared" si="15"/>
        <v>94</v>
      </c>
    </row>
    <row r="80" spans="1:27" ht="14.5">
      <c r="A80" s="6" t="s">
        <v>191</v>
      </c>
      <c r="B80" s="7">
        <v>46138</v>
      </c>
      <c r="C80" s="3" t="str">
        <f t="shared" si="8"/>
        <v>2026-04-26</v>
      </c>
      <c r="D80" s="6" t="s">
        <v>98</v>
      </c>
      <c r="E80" s="2" t="str">
        <f>VLOOKUP(D80,客户信息表!A$3:H$23,2,0)</f>
        <v>苏州创智科技</v>
      </c>
      <c r="F80" s="8" t="s">
        <v>99</v>
      </c>
      <c r="G80" s="4" t="str">
        <f>INDEX(客户信息表!$A$4:$H$23,MATCH(F80,客户信息表!$B$4:$B$23,0),1)</f>
        <v>KH010</v>
      </c>
      <c r="H80" s="4" t="str">
        <f>_xlfn.XLOOKUP(O80,产品信息表!$A$4:$A$15,产品信息表!$C$4:$C$15)</f>
        <v>电子数码</v>
      </c>
      <c r="I80" s="30">
        <f>DATE(MID(A80,4,4),MID(A80,8,2),MID(A80,10,2))</f>
        <v>46138</v>
      </c>
      <c r="J80" s="4" t="str">
        <f t="shared" si="9"/>
        <v>0076</v>
      </c>
      <c r="K80" s="4" t="str">
        <f>VLOOKUP(D80,客户信息表!$A$3:$H$23,5,0)</f>
        <v>A</v>
      </c>
      <c r="L80" s="6" t="s">
        <v>37</v>
      </c>
      <c r="M80" s="6" t="s">
        <v>19</v>
      </c>
      <c r="N80" s="2" t="str">
        <f t="shared" si="10"/>
        <v>华东</v>
      </c>
      <c r="O80" s="6" t="s">
        <v>192</v>
      </c>
      <c r="P80" s="8" t="s">
        <v>193</v>
      </c>
      <c r="Q80" s="9">
        <v>4299</v>
      </c>
      <c r="R80" s="6" t="s">
        <v>178</v>
      </c>
      <c r="S80" s="2">
        <f t="shared" si="11"/>
        <v>6</v>
      </c>
      <c r="T80" s="2">
        <f>VLOOKUP(S80,折扣阶梯!$A$3:$C$7,2,TRUE)</f>
        <v>1</v>
      </c>
      <c r="U80" s="9">
        <v>25794</v>
      </c>
      <c r="V80" s="5">
        <f t="shared" si="12"/>
        <v>25794</v>
      </c>
      <c r="W80" s="6" t="s">
        <v>50</v>
      </c>
      <c r="X80">
        <f t="shared" si="13"/>
        <v>25794</v>
      </c>
      <c r="Y80">
        <f>_xlfn.XLOOKUP(O80,产品信息表!$A$4:$A$15,产品信息表!$E$4:$E$15)</f>
        <v>3500</v>
      </c>
      <c r="Z80" s="31">
        <f t="shared" si="14"/>
        <v>0.18585717608746219</v>
      </c>
      <c r="AA80">
        <f t="shared" si="15"/>
        <v>20</v>
      </c>
    </row>
    <row r="81" spans="1:27" ht="14.5">
      <c r="A81" s="2" t="s">
        <v>194</v>
      </c>
      <c r="B81" s="3">
        <v>46139</v>
      </c>
      <c r="C81" s="3" t="str">
        <f t="shared" si="8"/>
        <v>2026-04-27</v>
      </c>
      <c r="D81" s="2" t="s">
        <v>16</v>
      </c>
      <c r="E81" s="2" t="str">
        <f>VLOOKUP(D81,客户信息表!A$3:H$23,2,0)</f>
        <v>上海锦程贸易</v>
      </c>
      <c r="F81" s="4" t="s">
        <v>17</v>
      </c>
      <c r="G81" s="4" t="str">
        <f>INDEX(客户信息表!$A$4:$H$23,MATCH(F81,客户信息表!$B$4:$B$23,0),1)</f>
        <v>KH002</v>
      </c>
      <c r="H81" s="4" t="str">
        <f>_xlfn.XLOOKUP(O81,产品信息表!$A$4:$A$15,产品信息表!$C$4:$C$15)</f>
        <v>电子数码</v>
      </c>
      <c r="I81" s="30">
        <f>DATE(MID(A81,4,4),MID(A81,8,2),MID(A81,10,2))</f>
        <v>46139</v>
      </c>
      <c r="J81" s="4" t="str">
        <f t="shared" si="9"/>
        <v>0077</v>
      </c>
      <c r="K81" s="4" t="str">
        <f>VLOOKUP(D81,客户信息表!$A$3:$H$23,5,0)</f>
        <v>B</v>
      </c>
      <c r="L81" s="2" t="s">
        <v>44</v>
      </c>
      <c r="M81" s="2" t="s">
        <v>19</v>
      </c>
      <c r="N81" s="2" t="str">
        <f t="shared" si="10"/>
        <v>华东</v>
      </c>
      <c r="O81" s="2" t="s">
        <v>192</v>
      </c>
      <c r="P81" s="4" t="s">
        <v>193</v>
      </c>
      <c r="Q81" s="5">
        <v>4299</v>
      </c>
      <c r="R81" s="2"/>
      <c r="S81" s="2">
        <f t="shared" si="11"/>
        <v>8</v>
      </c>
      <c r="T81" s="2">
        <f>VLOOKUP(S81,折扣阶梯!$A$3:$C$7,2,TRUE)</f>
        <v>1</v>
      </c>
      <c r="U81" s="5">
        <v>34392</v>
      </c>
      <c r="V81" s="5">
        <f t="shared" si="12"/>
        <v>34392</v>
      </c>
      <c r="W81" s="2" t="s">
        <v>50</v>
      </c>
      <c r="X81">
        <f t="shared" si="13"/>
        <v>34392</v>
      </c>
      <c r="Y81">
        <f>_xlfn.XLOOKUP(O81,产品信息表!$A$4:$A$15,产品信息表!$E$4:$E$15)</f>
        <v>3500</v>
      </c>
      <c r="Z81" s="31">
        <f t="shared" si="14"/>
        <v>0.18585717608746219</v>
      </c>
      <c r="AA81">
        <f t="shared" si="15"/>
        <v>12</v>
      </c>
    </row>
    <row r="82" spans="1:27" ht="14.5">
      <c r="A82" s="6" t="s">
        <v>195</v>
      </c>
      <c r="B82" s="7">
        <v>46140</v>
      </c>
      <c r="C82" s="3" t="str">
        <f t="shared" si="8"/>
        <v>2026-04-28</v>
      </c>
      <c r="D82" s="6" t="s">
        <v>98</v>
      </c>
      <c r="E82" s="2" t="str">
        <f>VLOOKUP(D82,客户信息表!A$3:H$23,2,0)</f>
        <v>苏州创智科技</v>
      </c>
      <c r="F82" s="8" t="s">
        <v>99</v>
      </c>
      <c r="G82" s="4" t="str">
        <f>INDEX(客户信息表!$A$4:$H$23,MATCH(F82,客户信息表!$B$4:$B$23,0),1)</f>
        <v>KH010</v>
      </c>
      <c r="H82" s="4" t="str">
        <f>_xlfn.XLOOKUP(O82,产品信息表!$A$4:$A$15,产品信息表!$C$4:$C$15)</f>
        <v>电子数码</v>
      </c>
      <c r="I82" s="30">
        <f>DATE(MID(A82,4,4),MID(A82,8,2),MID(A82,10,2))</f>
        <v>46140</v>
      </c>
      <c r="J82" s="4" t="str">
        <f t="shared" si="9"/>
        <v>0078</v>
      </c>
      <c r="K82" s="4" t="str">
        <f>VLOOKUP(D82,客户信息表!$A$3:$H$23,5,0)</f>
        <v>A</v>
      </c>
      <c r="L82" s="6" t="s">
        <v>55</v>
      </c>
      <c r="M82" s="6" t="s">
        <v>19</v>
      </c>
      <c r="N82" s="2" t="str">
        <f t="shared" si="10"/>
        <v>华东</v>
      </c>
      <c r="O82" s="6" t="s">
        <v>62</v>
      </c>
      <c r="P82" s="8" t="s">
        <v>63</v>
      </c>
      <c r="Q82" s="9">
        <v>1299</v>
      </c>
      <c r="R82" s="6">
        <v>7</v>
      </c>
      <c r="S82" s="2">
        <f t="shared" si="11"/>
        <v>7</v>
      </c>
      <c r="T82" s="2">
        <f>VLOOKUP(S82,折扣阶梯!$A$3:$C$7,2,TRUE)</f>
        <v>1</v>
      </c>
      <c r="U82" s="9">
        <v>9093</v>
      </c>
      <c r="V82" s="5">
        <f t="shared" si="12"/>
        <v>9093</v>
      </c>
      <c r="W82" s="6" t="s">
        <v>50</v>
      </c>
      <c r="X82">
        <f t="shared" si="13"/>
        <v>9093</v>
      </c>
      <c r="Y82">
        <f>_xlfn.XLOOKUP(O82,产品信息表!$A$4:$A$15,产品信息表!$E$4:$E$15)</f>
        <v>950</v>
      </c>
      <c r="Z82" s="31">
        <f t="shared" si="14"/>
        <v>0.26866820631254812</v>
      </c>
      <c r="AA82">
        <f t="shared" si="15"/>
        <v>68</v>
      </c>
    </row>
    <row r="83" spans="1:27" ht="14.5">
      <c r="A83" s="2" t="s">
        <v>196</v>
      </c>
      <c r="B83" s="3">
        <v>46140</v>
      </c>
      <c r="C83" s="3" t="str">
        <f t="shared" si="8"/>
        <v>2026-04-28</v>
      </c>
      <c r="D83" s="2" t="s">
        <v>142</v>
      </c>
      <c r="E83" s="2" t="str">
        <f>VLOOKUP(D83,客户信息表!A$3:H$23,2,0)</f>
        <v>佛山美的家电商贸</v>
      </c>
      <c r="F83" s="4" t="s">
        <v>143</v>
      </c>
      <c r="G83" s="4" t="str">
        <f>INDEX(客户信息表!$A$4:$H$23,MATCH(F83,客户信息表!$B$4:$B$23,0),1)</f>
        <v>KH015</v>
      </c>
      <c r="H83" s="4" t="str">
        <f>_xlfn.XLOOKUP(O83,产品信息表!$A$4:$A$15,产品信息表!$C$4:$C$15)</f>
        <v>办公耗材</v>
      </c>
      <c r="I83" s="30">
        <f>DATE(MID(A83,4,4),MID(A83,8,2),MID(A83,10,2))</f>
        <v>46140</v>
      </c>
      <c r="J83" s="4" t="str">
        <f t="shared" si="9"/>
        <v>0079</v>
      </c>
      <c r="K83" s="4" t="str">
        <f>VLOOKUP(D83,客户信息表!$A$3:$H$23,5,0)</f>
        <v>A</v>
      </c>
      <c r="L83" s="2" t="s">
        <v>67</v>
      </c>
      <c r="M83" s="2" t="s">
        <v>154</v>
      </c>
      <c r="N83" s="2" t="str">
        <f t="shared" si="10"/>
        <v>华南</v>
      </c>
      <c r="O83" s="2" t="s">
        <v>39</v>
      </c>
      <c r="P83" s="4" t="s">
        <v>40</v>
      </c>
      <c r="Q83" s="5">
        <v>128</v>
      </c>
      <c r="R83" s="2">
        <v>96</v>
      </c>
      <c r="S83" s="2">
        <f t="shared" si="11"/>
        <v>96</v>
      </c>
      <c r="T83" s="2">
        <f>VLOOKUP(S83,折扣阶梯!$A$3:$C$7,2,TRUE)</f>
        <v>0.9</v>
      </c>
      <c r="U83" s="5">
        <v>12288</v>
      </c>
      <c r="V83" s="5">
        <f t="shared" si="12"/>
        <v>12288</v>
      </c>
      <c r="W83" s="2" t="s">
        <v>50</v>
      </c>
      <c r="X83">
        <f t="shared" si="13"/>
        <v>11059.2</v>
      </c>
      <c r="Y83">
        <f>_xlfn.XLOOKUP(O83,产品信息表!$A$4:$A$15,产品信息表!$E$4:$E$15)</f>
        <v>95</v>
      </c>
      <c r="Z83" s="31">
        <f t="shared" si="14"/>
        <v>0.17534722222222227</v>
      </c>
      <c r="AA83">
        <f t="shared" si="15"/>
        <v>58</v>
      </c>
    </row>
    <row r="84" spans="1:27" ht="14.5">
      <c r="A84" s="6" t="s">
        <v>197</v>
      </c>
      <c r="B84" s="7">
        <v>46140</v>
      </c>
      <c r="C84" s="3" t="str">
        <f t="shared" si="8"/>
        <v>2026-04-28</v>
      </c>
      <c r="D84" s="6" t="s">
        <v>31</v>
      </c>
      <c r="E84" s="2" t="str">
        <f>VLOOKUP(D84,客户信息表!A$3:H$23,2,0)</f>
        <v>长沙麓山科技</v>
      </c>
      <c r="F84" s="8" t="s">
        <v>32</v>
      </c>
      <c r="G84" s="4" t="str">
        <f>INDEX(客户信息表!$A$4:$H$23,MATCH(F84,客户信息表!$B$4:$B$23,0),1)</f>
        <v>KH012</v>
      </c>
      <c r="H84" s="4" t="str">
        <f>_xlfn.XLOOKUP(O84,产品信息表!$A$4:$A$15,产品信息表!$C$4:$C$15)</f>
        <v>办公设备</v>
      </c>
      <c r="I84" s="30">
        <f>DATE(MID(A84,4,4),MID(A84,8,2),MID(A84,10,2))</f>
        <v>46140</v>
      </c>
      <c r="J84" s="4" t="str">
        <f t="shared" si="9"/>
        <v>0080</v>
      </c>
      <c r="K84" s="4" t="str">
        <f>VLOOKUP(D84,客户信息表!$A$3:$H$23,5,0)</f>
        <v>B</v>
      </c>
      <c r="L84" s="6" t="s">
        <v>37</v>
      </c>
      <c r="M84" s="6" t="s">
        <v>45</v>
      </c>
      <c r="N84" s="2" t="str">
        <f t="shared" si="10"/>
        <v>华中</v>
      </c>
      <c r="O84" s="6" t="s">
        <v>176</v>
      </c>
      <c r="P84" s="8" t="s">
        <v>177</v>
      </c>
      <c r="Q84" s="9">
        <v>3599</v>
      </c>
      <c r="R84" s="6">
        <v>7</v>
      </c>
      <c r="S84" s="2">
        <f t="shared" si="11"/>
        <v>7</v>
      </c>
      <c r="T84" s="2">
        <f>VLOOKUP(S84,折扣阶梯!$A$3:$C$7,2,TRUE)</f>
        <v>1</v>
      </c>
      <c r="U84" s="9">
        <v>25193</v>
      </c>
      <c r="V84" s="5">
        <f t="shared" si="12"/>
        <v>25193</v>
      </c>
      <c r="W84" s="6" t="s">
        <v>50</v>
      </c>
      <c r="X84">
        <f t="shared" si="13"/>
        <v>25193</v>
      </c>
      <c r="Y84">
        <f>_xlfn.XLOOKUP(O84,产品信息表!$A$4:$A$15,产品信息表!$E$4:$E$15)</f>
        <v>2700</v>
      </c>
      <c r="Z84" s="31">
        <f t="shared" si="14"/>
        <v>0.24979160878021672</v>
      </c>
      <c r="AA84">
        <f t="shared" si="15"/>
        <v>22</v>
      </c>
    </row>
    <row r="85" spans="1:27" ht="14.5">
      <c r="A85" s="2" t="s">
        <v>198</v>
      </c>
      <c r="B85" s="3">
        <v>46141</v>
      </c>
      <c r="C85" s="3" t="str">
        <f t="shared" si="8"/>
        <v>2026-04-29</v>
      </c>
      <c r="D85" s="2" t="s">
        <v>65</v>
      </c>
      <c r="E85" s="2" t="str">
        <f>VLOOKUP(D85,客户信息表!A$3:H$23,2,0)</f>
        <v>重庆山城办公设备</v>
      </c>
      <c r="F85" s="4" t="s">
        <v>66</v>
      </c>
      <c r="G85" s="4" t="str">
        <f>INDEX(客户信息表!$A$4:$H$23,MATCH(F85,客户信息表!$B$4:$B$23,0),1)</f>
        <v>KH011</v>
      </c>
      <c r="H85" s="4" t="str">
        <f>_xlfn.XLOOKUP(O85,产品信息表!$A$4:$A$15,产品信息表!$C$4:$C$15)</f>
        <v>电子数码</v>
      </c>
      <c r="I85" s="30">
        <f>DATE(MID(A85,4,4),MID(A85,8,2),MID(A85,10,2))</f>
        <v>46141</v>
      </c>
      <c r="J85" s="4" t="str">
        <f t="shared" si="9"/>
        <v>0081</v>
      </c>
      <c r="K85" s="4" t="str">
        <f>VLOOKUP(D85,客户信息表!$A$3:$H$23,5,0)</f>
        <v>B</v>
      </c>
      <c r="L85" s="2" t="s">
        <v>44</v>
      </c>
      <c r="M85" s="2" t="s">
        <v>68</v>
      </c>
      <c r="N85" s="2" t="str">
        <f t="shared" si="10"/>
        <v>西南</v>
      </c>
      <c r="O85" s="2" t="s">
        <v>192</v>
      </c>
      <c r="P85" s="4" t="s">
        <v>193</v>
      </c>
      <c r="Q85" s="5">
        <v>4299</v>
      </c>
      <c r="R85" s="2">
        <v>6</v>
      </c>
      <c r="S85" s="2">
        <f t="shared" si="11"/>
        <v>6</v>
      </c>
      <c r="T85" s="2">
        <f>VLOOKUP(S85,折扣阶梯!$A$3:$C$7,2,TRUE)</f>
        <v>1</v>
      </c>
      <c r="U85" s="5">
        <v>25794</v>
      </c>
      <c r="V85" s="5">
        <f t="shared" si="12"/>
        <v>25794</v>
      </c>
      <c r="W85" s="2" t="s">
        <v>89</v>
      </c>
      <c r="X85">
        <f t="shared" si="13"/>
        <v>25794</v>
      </c>
      <c r="Y85">
        <f>_xlfn.XLOOKUP(O85,产品信息表!$A$4:$A$15,产品信息表!$E$4:$E$15)</f>
        <v>3500</v>
      </c>
      <c r="Z85" s="31">
        <f t="shared" si="14"/>
        <v>0.18585717608746219</v>
      </c>
      <c r="AA85">
        <f t="shared" si="15"/>
        <v>19</v>
      </c>
    </row>
    <row r="86" spans="1:27" ht="14.5">
      <c r="A86" s="6" t="s">
        <v>199</v>
      </c>
      <c r="B86" s="7">
        <v>46142</v>
      </c>
      <c r="C86" s="3" t="str">
        <f t="shared" si="8"/>
        <v>2026-04-30</v>
      </c>
      <c r="D86" s="6" t="s">
        <v>142</v>
      </c>
      <c r="E86" s="2" t="str">
        <f>VLOOKUP(D86,客户信息表!A$3:H$23,2,0)</f>
        <v>佛山美的家电商贸</v>
      </c>
      <c r="F86" s="8" t="s">
        <v>143</v>
      </c>
      <c r="G86" s="4" t="str">
        <f>INDEX(客户信息表!$A$4:$H$23,MATCH(F86,客户信息表!$B$4:$B$23,0),1)</f>
        <v>KH015</v>
      </c>
      <c r="H86" s="4" t="str">
        <f>_xlfn.XLOOKUP(O86,产品信息表!$A$4:$A$15,产品信息表!$C$4:$C$15)</f>
        <v>软件服务</v>
      </c>
      <c r="I86" s="30">
        <f>DATE(MID(A86,4,4),MID(A86,8,2),MID(A86,10,2))</f>
        <v>46142</v>
      </c>
      <c r="J86" s="4" t="str">
        <f t="shared" si="9"/>
        <v>0082</v>
      </c>
      <c r="K86" s="4" t="str">
        <f>VLOOKUP(D86,客户信息表!$A$3:$H$23,5,0)</f>
        <v>A</v>
      </c>
      <c r="L86" s="6" t="s">
        <v>55</v>
      </c>
      <c r="M86" s="6" t="s">
        <v>25</v>
      </c>
      <c r="N86" s="2" t="str">
        <f t="shared" si="10"/>
        <v>华南</v>
      </c>
      <c r="O86" s="6" t="s">
        <v>12</v>
      </c>
      <c r="P86" s="8" t="s">
        <v>13</v>
      </c>
      <c r="Q86" s="9">
        <v>699</v>
      </c>
      <c r="R86" s="6">
        <v>32</v>
      </c>
      <c r="S86" s="2">
        <f t="shared" si="11"/>
        <v>32</v>
      </c>
      <c r="T86" s="2">
        <f>VLOOKUP(S86,折扣阶梯!$A$3:$C$7,2,TRUE)</f>
        <v>0.95</v>
      </c>
      <c r="U86" s="9">
        <v>22368</v>
      </c>
      <c r="V86" s="5">
        <f t="shared" si="12"/>
        <v>22368</v>
      </c>
      <c r="W86" s="6" t="s">
        <v>50</v>
      </c>
      <c r="X86">
        <f t="shared" si="13"/>
        <v>21249.599999999999</v>
      </c>
      <c r="Y86">
        <f>_xlfn.XLOOKUP(O86,产品信息表!$A$4:$A$15,产品信息表!$E$4:$E$15)</f>
        <v>300</v>
      </c>
      <c r="Z86" s="31">
        <f t="shared" si="14"/>
        <v>0.54822679015134401</v>
      </c>
      <c r="AA86">
        <f t="shared" si="15"/>
        <v>26</v>
      </c>
    </row>
    <row r="87" spans="1:27" ht="14.5">
      <c r="A87" s="2" t="s">
        <v>200</v>
      </c>
      <c r="B87" s="3">
        <v>46143</v>
      </c>
      <c r="C87" s="3" t="str">
        <f t="shared" si="8"/>
        <v>2026-05-01</v>
      </c>
      <c r="D87" s="2" t="s">
        <v>142</v>
      </c>
      <c r="E87" s="2" t="str">
        <f>VLOOKUP(D87,客户信息表!A$3:H$23,2,0)</f>
        <v>佛山美的家电商贸</v>
      </c>
      <c r="F87" s="4" t="s">
        <v>143</v>
      </c>
      <c r="G87" s="4" t="str">
        <f>INDEX(客户信息表!$A$4:$H$23,MATCH(F87,客户信息表!$B$4:$B$23,0),1)</f>
        <v>KH015</v>
      </c>
      <c r="H87" s="4" t="str">
        <f>_xlfn.XLOOKUP(O87,产品信息表!$A$4:$A$15,产品信息表!$C$4:$C$15)</f>
        <v>办公耗材</v>
      </c>
      <c r="I87" s="30">
        <f>DATE(MID(A87,4,4),MID(A87,8,2),MID(A87,10,2))</f>
        <v>46143</v>
      </c>
      <c r="J87" s="4" t="str">
        <f t="shared" si="9"/>
        <v>0083</v>
      </c>
      <c r="K87" s="4" t="str">
        <f>VLOOKUP(D87,客户信息表!$A$3:$H$23,5,0)</f>
        <v>A</v>
      </c>
      <c r="L87" s="2" t="s">
        <v>24</v>
      </c>
      <c r="M87" s="2" t="s">
        <v>25</v>
      </c>
      <c r="N87" s="2" t="str">
        <f t="shared" si="10"/>
        <v>华南</v>
      </c>
      <c r="O87" s="2" t="s">
        <v>73</v>
      </c>
      <c r="P87" s="4" t="s">
        <v>74</v>
      </c>
      <c r="Q87" s="5">
        <v>385</v>
      </c>
      <c r="R87" s="2">
        <v>94</v>
      </c>
      <c r="S87" s="2">
        <f t="shared" si="11"/>
        <v>94</v>
      </c>
      <c r="T87" s="2">
        <f>VLOOKUP(S87,折扣阶梯!$A$3:$C$7,2,TRUE)</f>
        <v>0.9</v>
      </c>
      <c r="U87" s="5">
        <v>36190</v>
      </c>
      <c r="V87" s="5">
        <f t="shared" si="12"/>
        <v>36190</v>
      </c>
      <c r="W87" s="2" t="s">
        <v>50</v>
      </c>
      <c r="X87">
        <f t="shared" si="13"/>
        <v>32571</v>
      </c>
      <c r="Y87">
        <f>_xlfn.XLOOKUP(O87,产品信息表!$A$4:$A$15,产品信息表!$E$4:$E$15)</f>
        <v>260</v>
      </c>
      <c r="Z87" s="31">
        <f t="shared" si="14"/>
        <v>0.24963924963924963</v>
      </c>
      <c r="AA87">
        <f t="shared" si="15"/>
        <v>10</v>
      </c>
    </row>
    <row r="88" spans="1:27" ht="14.5">
      <c r="A88" s="6" t="s">
        <v>201</v>
      </c>
      <c r="B88" s="6" t="s">
        <v>202</v>
      </c>
      <c r="C88" s="3" t="str">
        <f t="shared" si="8"/>
        <v>2026-05-01</v>
      </c>
      <c r="D88" s="6" t="s">
        <v>142</v>
      </c>
      <c r="E88" s="2" t="str">
        <f>VLOOKUP(D88,客户信息表!A$3:H$23,2,0)</f>
        <v>佛山美的家电商贸</v>
      </c>
      <c r="F88" s="8" t="s">
        <v>143</v>
      </c>
      <c r="G88" s="4" t="str">
        <f>INDEX(客户信息表!$A$4:$H$23,MATCH(F88,客户信息表!$B$4:$B$23,0),1)</f>
        <v>KH015</v>
      </c>
      <c r="H88" s="4" t="str">
        <f>_xlfn.XLOOKUP(O88,产品信息表!$A$4:$A$15,产品信息表!$C$4:$C$15)</f>
        <v>办公耗材</v>
      </c>
      <c r="I88" s="30">
        <f>DATE(MID(A88,4,4),MID(A88,8,2),MID(A88,10,2))</f>
        <v>46143</v>
      </c>
      <c r="J88" s="4" t="str">
        <f t="shared" si="9"/>
        <v>0084</v>
      </c>
      <c r="K88" s="4" t="str">
        <f>VLOOKUP(D88,客户信息表!$A$3:$H$23,5,0)</f>
        <v>A</v>
      </c>
      <c r="L88" s="6" t="s">
        <v>24</v>
      </c>
      <c r="M88" s="6" t="s">
        <v>25</v>
      </c>
      <c r="N88" s="2" t="str">
        <f t="shared" si="10"/>
        <v>华南</v>
      </c>
      <c r="O88" s="6" t="s">
        <v>48</v>
      </c>
      <c r="P88" s="8" t="s">
        <v>49</v>
      </c>
      <c r="Q88" s="9">
        <v>45</v>
      </c>
      <c r="R88" s="6">
        <v>75</v>
      </c>
      <c r="S88" s="2">
        <f t="shared" si="11"/>
        <v>75</v>
      </c>
      <c r="T88" s="2">
        <f>VLOOKUP(S88,折扣阶梯!$A$3:$C$7,2,TRUE)</f>
        <v>0.9</v>
      </c>
      <c r="U88" s="9">
        <v>3375</v>
      </c>
      <c r="V88" s="5">
        <f t="shared" si="12"/>
        <v>3375</v>
      </c>
      <c r="W88" s="6" t="s">
        <v>22</v>
      </c>
      <c r="X88">
        <f t="shared" si="13"/>
        <v>3037.5</v>
      </c>
      <c r="Y88">
        <f>_xlfn.XLOOKUP(O88,产品信息表!$A$4:$A$15,产品信息表!$E$4:$E$15)</f>
        <v>28</v>
      </c>
      <c r="Z88" s="31">
        <f t="shared" si="14"/>
        <v>0.30864197530864196</v>
      </c>
      <c r="AA88">
        <f t="shared" si="15"/>
        <v>96</v>
      </c>
    </row>
    <row r="89" spans="1:27" ht="14.5">
      <c r="A89" s="2" t="s">
        <v>203</v>
      </c>
      <c r="B89" s="3">
        <v>46145</v>
      </c>
      <c r="C89" s="3" t="str">
        <f t="shared" si="8"/>
        <v>2026-05-03</v>
      </c>
      <c r="D89" s="2" t="s">
        <v>52</v>
      </c>
      <c r="E89" s="2" t="str">
        <f>VLOOKUP(D89,客户信息表!A$3:H$23,2,0)</f>
        <v>武汉长江实业</v>
      </c>
      <c r="F89" s="4" t="s">
        <v>53</v>
      </c>
      <c r="G89" s="4" t="str">
        <f>INDEX(客户信息表!$A$4:$H$23,MATCH(F89,客户信息表!$B$4:$B$23,0),1)</f>
        <v>KH007</v>
      </c>
      <c r="H89" s="4" t="str">
        <f>_xlfn.XLOOKUP(O89,产品信息表!$A$4:$A$15,产品信息表!$C$4:$C$15)</f>
        <v>办公耗材</v>
      </c>
      <c r="I89" s="30">
        <f>DATE(MID(A89,4,4),MID(A89,8,2),MID(A89,10,2))</f>
        <v>46145</v>
      </c>
      <c r="J89" s="4" t="str">
        <f t="shared" si="9"/>
        <v>0085</v>
      </c>
      <c r="K89" s="4" t="str">
        <f>VLOOKUP(D89,客户信息表!$A$3:$H$23,5,0)</f>
        <v>B</v>
      </c>
      <c r="L89" s="2" t="s">
        <v>78</v>
      </c>
      <c r="M89" s="2" t="s">
        <v>45</v>
      </c>
      <c r="N89" s="2" t="str">
        <f t="shared" si="10"/>
        <v>华中</v>
      </c>
      <c r="O89" s="2" t="s">
        <v>39</v>
      </c>
      <c r="P89" s="4" t="s">
        <v>40</v>
      </c>
      <c r="Q89" s="5">
        <v>128</v>
      </c>
      <c r="R89" s="2" t="s">
        <v>204</v>
      </c>
      <c r="S89" s="2">
        <f t="shared" si="11"/>
        <v>34</v>
      </c>
      <c r="T89" s="2">
        <f>VLOOKUP(S89,折扣阶梯!$A$3:$C$7,2,TRUE)</f>
        <v>0.95</v>
      </c>
      <c r="U89" s="5">
        <v>4352</v>
      </c>
      <c r="V89" s="5">
        <f t="shared" si="12"/>
        <v>4352</v>
      </c>
      <c r="W89" s="2" t="s">
        <v>14</v>
      </c>
      <c r="X89">
        <f t="shared" si="13"/>
        <v>4134.3999999999996</v>
      </c>
      <c r="Y89">
        <f>_xlfn.XLOOKUP(O89,产品信息表!$A$4:$A$15,产品信息表!$E$4:$E$15)</f>
        <v>95</v>
      </c>
      <c r="Z89" s="31">
        <f t="shared" si="14"/>
        <v>0.21874999999999994</v>
      </c>
      <c r="AA89">
        <f t="shared" si="15"/>
        <v>88</v>
      </c>
    </row>
    <row r="90" spans="1:27" ht="14.5">
      <c r="A90" s="6" t="s">
        <v>205</v>
      </c>
      <c r="B90" s="7">
        <v>46145</v>
      </c>
      <c r="C90" s="3" t="str">
        <f t="shared" si="8"/>
        <v>2026-05-03</v>
      </c>
      <c r="D90" s="6" t="s">
        <v>9</v>
      </c>
      <c r="E90" s="2" t="str">
        <f>VLOOKUP(D90,客户信息表!A$3:H$23,2,0)</f>
        <v>广州启航教育</v>
      </c>
      <c r="F90" s="8" t="s">
        <v>10</v>
      </c>
      <c r="G90" s="4" t="str">
        <f>INDEX(客户信息表!$A$4:$H$23,MATCH(F90,客户信息表!$B$4:$B$23,0),1)</f>
        <v>KH003</v>
      </c>
      <c r="H90" s="4" t="str">
        <f>_xlfn.XLOOKUP(O90,产品信息表!$A$4:$A$15,产品信息表!$C$4:$C$15)</f>
        <v>软件服务</v>
      </c>
      <c r="I90" s="30">
        <f>DATE(MID(A90,4,4),MID(A90,8,2),MID(A90,10,2))</f>
        <v>46145</v>
      </c>
      <c r="J90" s="4" t="str">
        <f t="shared" si="9"/>
        <v>0086</v>
      </c>
      <c r="K90" s="4" t="str">
        <f>VLOOKUP(D90,客户信息表!$A$3:$H$23,5,0)</f>
        <v>A</v>
      </c>
      <c r="L90" s="6" t="s">
        <v>67</v>
      </c>
      <c r="M90" s="6" t="s">
        <v>25</v>
      </c>
      <c r="N90" s="2" t="str">
        <f t="shared" si="10"/>
        <v>华南</v>
      </c>
      <c r="O90" s="6" t="s">
        <v>57</v>
      </c>
      <c r="P90" s="8" t="s">
        <v>123</v>
      </c>
      <c r="Q90" s="9">
        <v>599</v>
      </c>
      <c r="R90" s="6">
        <v>31</v>
      </c>
      <c r="S90" s="2">
        <f t="shared" si="11"/>
        <v>31</v>
      </c>
      <c r="T90" s="2">
        <f>VLOOKUP(S90,折扣阶梯!$A$3:$C$7,2,TRUE)</f>
        <v>0.95</v>
      </c>
      <c r="U90" s="9">
        <v>18569</v>
      </c>
      <c r="V90" s="5">
        <f t="shared" si="12"/>
        <v>18569</v>
      </c>
      <c r="W90" s="6" t="s">
        <v>22</v>
      </c>
      <c r="X90">
        <f t="shared" si="13"/>
        <v>17640.55</v>
      </c>
      <c r="Y90">
        <f>_xlfn.XLOOKUP(O90,产品信息表!$A$4:$A$15,产品信息表!$E$4:$E$15)</f>
        <v>250</v>
      </c>
      <c r="Z90" s="31">
        <f t="shared" si="14"/>
        <v>0.56067129426236706</v>
      </c>
      <c r="AA90">
        <f t="shared" si="15"/>
        <v>35</v>
      </c>
    </row>
    <row r="91" spans="1:27" ht="14.5">
      <c r="A91" s="2" t="s">
        <v>206</v>
      </c>
      <c r="B91" s="2" t="s">
        <v>207</v>
      </c>
      <c r="C91" s="3" t="str">
        <f t="shared" si="8"/>
        <v>2026-05-03</v>
      </c>
      <c r="D91" s="2" t="s">
        <v>9</v>
      </c>
      <c r="E91" s="2" t="str">
        <f>VLOOKUP(D91,客户信息表!A$3:H$23,2,0)</f>
        <v>广州启航教育</v>
      </c>
      <c r="F91" s="4" t="s">
        <v>10</v>
      </c>
      <c r="G91" s="4" t="str">
        <f>INDEX(客户信息表!$A$4:$H$23,MATCH(F91,客户信息表!$B$4:$B$23,0),1)</f>
        <v>KH003</v>
      </c>
      <c r="H91" s="4" t="str">
        <f>_xlfn.XLOOKUP(O91,产品信息表!$A$4:$A$15,产品信息表!$C$4:$C$15)</f>
        <v>电子数码</v>
      </c>
      <c r="I91" s="30">
        <f>DATE(MID(A91,4,4),MID(A91,8,2),MID(A91,10,2))</f>
        <v>46145</v>
      </c>
      <c r="J91" s="4" t="str">
        <f t="shared" si="9"/>
        <v>0087</v>
      </c>
      <c r="K91" s="4" t="str">
        <f>VLOOKUP(D91,客户信息表!$A$3:$H$23,5,0)</f>
        <v>A</v>
      </c>
      <c r="L91" s="2" t="s">
        <v>44</v>
      </c>
      <c r="M91" s="2" t="s">
        <v>25</v>
      </c>
      <c r="N91" s="2" t="str">
        <f t="shared" si="10"/>
        <v>华南</v>
      </c>
      <c r="O91" s="2" t="s">
        <v>62</v>
      </c>
      <c r="P91" s="4" t="s">
        <v>63</v>
      </c>
      <c r="Q91" s="5">
        <v>1299</v>
      </c>
      <c r="R91" s="2">
        <v>10</v>
      </c>
      <c r="S91" s="2">
        <f t="shared" si="11"/>
        <v>10</v>
      </c>
      <c r="T91" s="2">
        <f>VLOOKUP(S91,折扣阶梯!$A$3:$C$7,2,TRUE)</f>
        <v>0.95</v>
      </c>
      <c r="U91" s="5">
        <v>12990</v>
      </c>
      <c r="V91" s="5">
        <f t="shared" si="12"/>
        <v>12990</v>
      </c>
      <c r="W91" s="2" t="s">
        <v>22</v>
      </c>
      <c r="X91">
        <f t="shared" si="13"/>
        <v>12340.5</v>
      </c>
      <c r="Y91">
        <f>_xlfn.XLOOKUP(O91,产品信息表!$A$4:$A$15,产品信息表!$E$4:$E$15)</f>
        <v>950</v>
      </c>
      <c r="Z91" s="31">
        <f t="shared" si="14"/>
        <v>0.23017705927636645</v>
      </c>
      <c r="AA91">
        <f t="shared" si="15"/>
        <v>49</v>
      </c>
    </row>
    <row r="92" spans="1:27" ht="14.5">
      <c r="A92" s="6" t="s">
        <v>208</v>
      </c>
      <c r="B92" s="7">
        <v>46146</v>
      </c>
      <c r="C92" s="3" t="str">
        <f t="shared" si="8"/>
        <v>2026-05-04</v>
      </c>
      <c r="D92" s="6" t="s">
        <v>139</v>
      </c>
      <c r="E92" s="2" t="str">
        <f>VLOOKUP(D92,客户信息表!A$3:H$23,2,0)</f>
        <v>石家庄振华商贸</v>
      </c>
      <c r="F92" s="8" t="s">
        <v>140</v>
      </c>
      <c r="G92" s="4" t="str">
        <f>INDEX(客户信息表!$A$4:$H$23,MATCH(F92,客户信息表!$B$4:$B$23,0),1)</f>
        <v>KH013</v>
      </c>
      <c r="H92" s="4" t="str">
        <f>_xlfn.XLOOKUP(O92,产品信息表!$A$4:$A$15,产品信息表!$C$4:$C$15)</f>
        <v>办公耗材</v>
      </c>
      <c r="I92" s="30">
        <f>DATE(MID(A92,4,4),MID(A92,8,2),MID(A92,10,2))</f>
        <v>46146</v>
      </c>
      <c r="J92" s="4" t="str">
        <f t="shared" si="9"/>
        <v>0088</v>
      </c>
      <c r="K92" s="4" t="str">
        <f>VLOOKUP(D92,客户信息表!$A$3:$H$23,5,0)</f>
        <v>C</v>
      </c>
      <c r="L92" s="6" t="s">
        <v>78</v>
      </c>
      <c r="M92" s="6" t="s">
        <v>38</v>
      </c>
      <c r="N92" s="2" t="str">
        <f t="shared" si="10"/>
        <v>华北</v>
      </c>
      <c r="O92" s="6" t="s">
        <v>39</v>
      </c>
      <c r="P92" s="8" t="s">
        <v>40</v>
      </c>
      <c r="Q92" s="9">
        <v>128</v>
      </c>
      <c r="R92" s="6">
        <v>23</v>
      </c>
      <c r="S92" s="2">
        <f t="shared" si="11"/>
        <v>23</v>
      </c>
      <c r="T92" s="2">
        <f>VLOOKUP(S92,折扣阶梯!$A$3:$C$7,2,TRUE)</f>
        <v>0.95</v>
      </c>
      <c r="U92" s="9">
        <v>2944</v>
      </c>
      <c r="V92" s="5">
        <f t="shared" si="12"/>
        <v>2944</v>
      </c>
      <c r="W92" s="6" t="s">
        <v>50</v>
      </c>
      <c r="X92">
        <f t="shared" si="13"/>
        <v>2796.7999999999997</v>
      </c>
      <c r="Y92">
        <f>_xlfn.XLOOKUP(O92,产品信息表!$A$4:$A$15,产品信息表!$E$4:$E$15)</f>
        <v>95</v>
      </c>
      <c r="Z92" s="31">
        <f t="shared" si="14"/>
        <v>0.21874999999999992</v>
      </c>
      <c r="AA92">
        <f t="shared" si="15"/>
        <v>96</v>
      </c>
    </row>
    <row r="93" spans="1:27" ht="14.5">
      <c r="A93" s="2" t="s">
        <v>209</v>
      </c>
      <c r="B93" s="3">
        <v>46147</v>
      </c>
      <c r="C93" s="3" t="str">
        <f t="shared" si="8"/>
        <v>2026-05-05</v>
      </c>
      <c r="D93" s="2" t="s">
        <v>125</v>
      </c>
      <c r="E93" s="2" t="str">
        <f>VLOOKUP(D93,客户信息表!A$3:H$23,2,0)</f>
        <v>南京紫金山软件园运营</v>
      </c>
      <c r="F93" s="4" t="s">
        <v>126</v>
      </c>
      <c r="G93" s="4" t="str">
        <f>INDEX(客户信息表!$A$4:$H$23,MATCH(F93,客户信息表!$B$4:$B$23,0),1)</f>
        <v>KH008</v>
      </c>
      <c r="H93" s="4" t="str">
        <f>_xlfn.XLOOKUP(O93,产品信息表!$A$4:$A$15,产品信息表!$C$4:$C$15)</f>
        <v>电子数码</v>
      </c>
      <c r="I93" s="30">
        <f>DATE(MID(A93,4,4),MID(A93,8,2),MID(A93,10,2))</f>
        <v>46147</v>
      </c>
      <c r="J93" s="4" t="str">
        <f t="shared" si="9"/>
        <v>0089</v>
      </c>
      <c r="K93" s="4" t="str">
        <f>VLOOKUP(D93,客户信息表!$A$3:$H$23,5,0)</f>
        <v>C</v>
      </c>
      <c r="L93" s="2" t="s">
        <v>67</v>
      </c>
      <c r="M93" s="2" t="s">
        <v>19</v>
      </c>
      <c r="N93" s="2" t="str">
        <f t="shared" si="10"/>
        <v>华东</v>
      </c>
      <c r="O93" s="2" t="s">
        <v>91</v>
      </c>
      <c r="P93" s="4" t="s">
        <v>102</v>
      </c>
      <c r="Q93" s="5">
        <v>5699</v>
      </c>
      <c r="R93" s="2">
        <v>12</v>
      </c>
      <c r="S93" s="2">
        <f t="shared" si="11"/>
        <v>12</v>
      </c>
      <c r="T93" s="2">
        <f>VLOOKUP(S93,折扣阶梯!$A$3:$C$7,2,TRUE)</f>
        <v>0.95</v>
      </c>
      <c r="U93" s="5">
        <v>68388</v>
      </c>
      <c r="V93" s="5">
        <f t="shared" si="12"/>
        <v>68388</v>
      </c>
      <c r="W93" s="2" t="s">
        <v>14</v>
      </c>
      <c r="X93">
        <f t="shared" si="13"/>
        <v>64968.6</v>
      </c>
      <c r="Y93">
        <f>_xlfn.XLOOKUP(O93,产品信息表!$A$4:$A$15,产品信息表!$E$4:$E$15)</f>
        <v>4800</v>
      </c>
      <c r="Z93" s="31">
        <f t="shared" si="14"/>
        <v>0.11341786647703658</v>
      </c>
      <c r="AA93">
        <f t="shared" si="15"/>
        <v>1</v>
      </c>
    </row>
    <row r="94" spans="1:27" ht="14.5">
      <c r="A94" s="6" t="s">
        <v>210</v>
      </c>
      <c r="B94" s="7">
        <v>46148</v>
      </c>
      <c r="C94" s="3" t="str">
        <f t="shared" si="8"/>
        <v>2026-05-06</v>
      </c>
      <c r="D94" s="6" t="s">
        <v>152</v>
      </c>
      <c r="E94" s="2" t="str">
        <f>VLOOKUP(D94,客户信息表!A$3:H$23,2,0)</f>
        <v>厦门鹭岛文创</v>
      </c>
      <c r="F94" s="8" t="s">
        <v>153</v>
      </c>
      <c r="G94" s="4" t="str">
        <f>INDEX(客户信息表!$A$4:$H$23,MATCH(F94,客户信息表!$B$4:$B$23,0),1)</f>
        <v>KH018</v>
      </c>
      <c r="H94" s="4" t="str">
        <f>_xlfn.XLOOKUP(O94,产品信息表!$A$4:$A$15,产品信息表!$C$4:$C$15)</f>
        <v>办公耗材</v>
      </c>
      <c r="I94" s="30">
        <f>DATE(MID(A94,4,4),MID(A94,8,2),MID(A94,10,2))</f>
        <v>46148</v>
      </c>
      <c r="J94" s="4" t="str">
        <f t="shared" si="9"/>
        <v>0090</v>
      </c>
      <c r="K94" s="4" t="str">
        <f>VLOOKUP(D94,客户信息表!$A$3:$H$23,5,0)</f>
        <v>C</v>
      </c>
      <c r="L94" s="6" t="s">
        <v>55</v>
      </c>
      <c r="M94" s="6" t="s">
        <v>25</v>
      </c>
      <c r="N94" s="2" t="str">
        <f t="shared" si="10"/>
        <v>华南</v>
      </c>
      <c r="O94" s="6" t="s">
        <v>73</v>
      </c>
      <c r="P94" s="8" t="s">
        <v>74</v>
      </c>
      <c r="Q94" s="9">
        <v>385</v>
      </c>
      <c r="R94" s="6" t="s">
        <v>211</v>
      </c>
      <c r="S94" s="2">
        <f t="shared" si="11"/>
        <v>53</v>
      </c>
      <c r="T94" s="2">
        <f>VLOOKUP(S94,折扣阶梯!$A$3:$C$7,2,TRUE)</f>
        <v>0.9</v>
      </c>
      <c r="U94" s="9">
        <v>20405</v>
      </c>
      <c r="V94" s="5">
        <f t="shared" si="12"/>
        <v>20405</v>
      </c>
      <c r="W94" s="6" t="s">
        <v>50</v>
      </c>
      <c r="X94">
        <f t="shared" si="13"/>
        <v>18364.5</v>
      </c>
      <c r="Y94">
        <f>_xlfn.XLOOKUP(O94,产品信息表!$A$4:$A$15,产品信息表!$E$4:$E$15)</f>
        <v>260</v>
      </c>
      <c r="Z94" s="31">
        <f t="shared" si="14"/>
        <v>0.24963924963924963</v>
      </c>
      <c r="AA94">
        <f t="shared" si="15"/>
        <v>28</v>
      </c>
    </row>
    <row r="95" spans="1:27" ht="14.5">
      <c r="A95" s="2" t="s">
        <v>212</v>
      </c>
      <c r="B95" s="3">
        <v>46148</v>
      </c>
      <c r="C95" s="3" t="str">
        <f t="shared" si="8"/>
        <v>2026-05-06</v>
      </c>
      <c r="D95" s="2" t="s">
        <v>31</v>
      </c>
      <c r="E95" s="2" t="str">
        <f>VLOOKUP(D95,客户信息表!A$3:H$23,2,0)</f>
        <v>长沙麓山科技</v>
      </c>
      <c r="F95" s="4" t="s">
        <v>32</v>
      </c>
      <c r="G95" s="4" t="str">
        <f>INDEX(客户信息表!$A$4:$H$23,MATCH(F95,客户信息表!$B$4:$B$23,0),1)</f>
        <v>KH012</v>
      </c>
      <c r="H95" s="4" t="str">
        <f>_xlfn.XLOOKUP(O95,产品信息表!$A$4:$A$15,产品信息表!$C$4:$C$15)</f>
        <v>电子数码</v>
      </c>
      <c r="I95" s="30">
        <f>DATE(MID(A95,4,4),MID(A95,8,2),MID(A95,10,2))</f>
        <v>46148</v>
      </c>
      <c r="J95" s="4" t="str">
        <f t="shared" si="9"/>
        <v>0091</v>
      </c>
      <c r="K95" s="4" t="str">
        <f>VLOOKUP(D95,客户信息表!$A$3:$H$23,5,0)</f>
        <v>B</v>
      </c>
      <c r="L95" s="2" t="s">
        <v>24</v>
      </c>
      <c r="M95" s="2" t="s">
        <v>45</v>
      </c>
      <c r="N95" s="2" t="str">
        <f t="shared" si="10"/>
        <v>华中</v>
      </c>
      <c r="O95" s="2" t="s">
        <v>192</v>
      </c>
      <c r="P95" s="4" t="s">
        <v>193</v>
      </c>
      <c r="Q95" s="5">
        <v>4299</v>
      </c>
      <c r="R95" s="2">
        <v>6</v>
      </c>
      <c r="S95" s="2">
        <f t="shared" si="11"/>
        <v>6</v>
      </c>
      <c r="T95" s="2">
        <f>VLOOKUP(S95,折扣阶梯!$A$3:$C$7,2,TRUE)</f>
        <v>1</v>
      </c>
      <c r="U95" s="5">
        <v>25794</v>
      </c>
      <c r="V95" s="5">
        <f t="shared" si="12"/>
        <v>25794</v>
      </c>
      <c r="W95" s="2" t="s">
        <v>50</v>
      </c>
      <c r="X95">
        <f t="shared" si="13"/>
        <v>25794</v>
      </c>
      <c r="Y95">
        <f>_xlfn.XLOOKUP(O95,产品信息表!$A$4:$A$15,产品信息表!$E$4:$E$15)</f>
        <v>3500</v>
      </c>
      <c r="Z95" s="31">
        <f t="shared" si="14"/>
        <v>0.18585717608746219</v>
      </c>
      <c r="AA95">
        <f t="shared" si="15"/>
        <v>17</v>
      </c>
    </row>
    <row r="96" spans="1:27" ht="14.5">
      <c r="A96" s="6" t="s">
        <v>213</v>
      </c>
      <c r="B96" s="6" t="s">
        <v>214</v>
      </c>
      <c r="C96" s="3" t="str">
        <f t="shared" si="8"/>
        <v>2026-05-06</v>
      </c>
      <c r="D96" s="6" t="s">
        <v>98</v>
      </c>
      <c r="E96" s="2" t="str">
        <f>VLOOKUP(D96,客户信息表!A$3:H$23,2,0)</f>
        <v>苏州创智科技</v>
      </c>
      <c r="F96" s="8" t="s">
        <v>99</v>
      </c>
      <c r="G96" s="4" t="str">
        <f>INDEX(客户信息表!$A$4:$H$23,MATCH(F96,客户信息表!$B$4:$B$23,0),1)</f>
        <v>KH010</v>
      </c>
      <c r="H96" s="4" t="str">
        <f>_xlfn.XLOOKUP(O96,产品信息表!$A$4:$A$15,产品信息表!$C$4:$C$15)</f>
        <v>办公设备</v>
      </c>
      <c r="I96" s="30">
        <f>DATE(MID(A96,4,4),MID(A96,8,2),MID(A96,10,2))</f>
        <v>46148</v>
      </c>
      <c r="J96" s="4" t="str">
        <f t="shared" si="9"/>
        <v>0092</v>
      </c>
      <c r="K96" s="4" t="str">
        <f>VLOOKUP(D96,客户信息表!$A$3:$H$23,5,0)</f>
        <v>A</v>
      </c>
      <c r="L96" s="6" t="s">
        <v>24</v>
      </c>
      <c r="M96" s="6" t="s">
        <v>19</v>
      </c>
      <c r="N96" s="2" t="str">
        <f t="shared" si="10"/>
        <v>华东</v>
      </c>
      <c r="O96" s="6" t="s">
        <v>81</v>
      </c>
      <c r="P96" s="8" t="s">
        <v>82</v>
      </c>
      <c r="Q96" s="9">
        <v>2499</v>
      </c>
      <c r="R96" s="6">
        <v>6</v>
      </c>
      <c r="S96" s="2">
        <f t="shared" si="11"/>
        <v>6</v>
      </c>
      <c r="T96" s="2">
        <f>VLOOKUP(S96,折扣阶梯!$A$3:$C$7,2,TRUE)</f>
        <v>1</v>
      </c>
      <c r="U96" s="9">
        <v>14994</v>
      </c>
      <c r="V96" s="5">
        <f t="shared" si="12"/>
        <v>14994</v>
      </c>
      <c r="W96" s="6" t="s">
        <v>89</v>
      </c>
      <c r="X96">
        <f t="shared" si="13"/>
        <v>14994</v>
      </c>
      <c r="Y96">
        <f>_xlfn.XLOOKUP(O96,产品信息表!$A$4:$A$15,产品信息表!$E$4:$E$15)</f>
        <v>1850</v>
      </c>
      <c r="Z96" s="31">
        <f t="shared" si="14"/>
        <v>0.25970388155262103</v>
      </c>
      <c r="AA96">
        <f t="shared" si="15"/>
        <v>38</v>
      </c>
    </row>
    <row r="97" spans="1:27" ht="14.5">
      <c r="A97" s="2" t="s">
        <v>215</v>
      </c>
      <c r="B97" s="3">
        <v>46148</v>
      </c>
      <c r="C97" s="3" t="str">
        <f t="shared" si="8"/>
        <v>2026-05-06</v>
      </c>
      <c r="D97" s="2" t="s">
        <v>107</v>
      </c>
      <c r="E97" s="2" t="str">
        <f>VLOOKUP(D97,客户信息表!A$3:H$23,2,0)</f>
        <v>天津海河传媒</v>
      </c>
      <c r="F97" s="4" t="s">
        <v>108</v>
      </c>
      <c r="G97" s="4" t="str">
        <f>INDEX(客户信息表!$A$4:$H$23,MATCH(F97,客户信息表!$B$4:$B$23,0),1)</f>
        <v>KH009</v>
      </c>
      <c r="H97" s="4" t="str">
        <f>_xlfn.XLOOKUP(O97,产品信息表!$A$4:$A$15,产品信息表!$C$4:$C$15)</f>
        <v>电子数码</v>
      </c>
      <c r="I97" s="30">
        <f>DATE(MID(A97,4,4),MID(A97,8,2),MID(A97,10,2))</f>
        <v>46148</v>
      </c>
      <c r="J97" s="4" t="str">
        <f t="shared" si="9"/>
        <v>0093</v>
      </c>
      <c r="K97" s="4" t="str">
        <f>VLOOKUP(D97,客户信息表!$A$3:$H$23,5,0)</f>
        <v>C</v>
      </c>
      <c r="L97" s="2" t="s">
        <v>44</v>
      </c>
      <c r="M97" s="2" t="s">
        <v>38</v>
      </c>
      <c r="N97" s="2" t="str">
        <f t="shared" si="10"/>
        <v>华北</v>
      </c>
      <c r="O97" s="2" t="s">
        <v>62</v>
      </c>
      <c r="P97" s="4" t="s">
        <v>63</v>
      </c>
      <c r="Q97" s="5">
        <v>1299</v>
      </c>
      <c r="R97" s="2" t="s">
        <v>181</v>
      </c>
      <c r="S97" s="2">
        <f t="shared" si="11"/>
        <v>9</v>
      </c>
      <c r="T97" s="2">
        <f>VLOOKUP(S97,折扣阶梯!$A$3:$C$7,2,TRUE)</f>
        <v>1</v>
      </c>
      <c r="U97" s="5">
        <v>11691</v>
      </c>
      <c r="V97" s="5">
        <f t="shared" si="12"/>
        <v>11691</v>
      </c>
      <c r="W97" s="2" t="s">
        <v>50</v>
      </c>
      <c r="X97">
        <f t="shared" si="13"/>
        <v>11691</v>
      </c>
      <c r="Y97">
        <f>_xlfn.XLOOKUP(O97,产品信息表!$A$4:$A$15,产品信息表!$E$4:$E$15)</f>
        <v>950</v>
      </c>
      <c r="Z97" s="31">
        <f t="shared" si="14"/>
        <v>0.26866820631254812</v>
      </c>
      <c r="AA97">
        <f t="shared" si="15"/>
        <v>49</v>
      </c>
    </row>
    <row r="98" spans="1:27" ht="14.5">
      <c r="A98" s="6" t="s">
        <v>216</v>
      </c>
      <c r="B98" s="7">
        <v>46150</v>
      </c>
      <c r="C98" s="3" t="str">
        <f t="shared" si="8"/>
        <v>2026-05-08</v>
      </c>
      <c r="D98" s="6" t="s">
        <v>65</v>
      </c>
      <c r="E98" s="2" t="str">
        <f>VLOOKUP(D98,客户信息表!A$3:H$23,2,0)</f>
        <v>重庆山城办公设备</v>
      </c>
      <c r="F98" s="8" t="s">
        <v>66</v>
      </c>
      <c r="G98" s="4" t="str">
        <f>INDEX(客户信息表!$A$4:$H$23,MATCH(F98,客户信息表!$B$4:$B$23,0),1)</f>
        <v>KH011</v>
      </c>
      <c r="H98" s="4" t="str">
        <f>_xlfn.XLOOKUP(O98,产品信息表!$A$4:$A$15,产品信息表!$C$4:$C$15)</f>
        <v>软件服务</v>
      </c>
      <c r="I98" s="30">
        <f>DATE(MID(A98,4,4),MID(A98,8,2),MID(A98,10,2))</f>
        <v>46150</v>
      </c>
      <c r="J98" s="4" t="str">
        <f t="shared" si="9"/>
        <v>0094</v>
      </c>
      <c r="K98" s="4" t="str">
        <f>VLOOKUP(D98,客户信息表!$A$3:$H$23,5,0)</f>
        <v>B</v>
      </c>
      <c r="L98" s="6" t="s">
        <v>24</v>
      </c>
      <c r="M98" s="6" t="s">
        <v>86</v>
      </c>
      <c r="N98" s="2" t="str">
        <f t="shared" si="10"/>
        <v>西南</v>
      </c>
      <c r="O98" s="6" t="s">
        <v>12</v>
      </c>
      <c r="P98" s="8" t="s">
        <v>13</v>
      </c>
      <c r="Q98" s="9">
        <v>699</v>
      </c>
      <c r="R98" s="6">
        <v>6</v>
      </c>
      <c r="S98" s="2">
        <f t="shared" si="11"/>
        <v>6</v>
      </c>
      <c r="T98" s="2">
        <f>VLOOKUP(S98,折扣阶梯!$A$3:$C$7,2,TRUE)</f>
        <v>1</v>
      </c>
      <c r="U98" s="11" t="s">
        <v>217</v>
      </c>
      <c r="V98" s="5">
        <f t="shared" si="12"/>
        <v>4194</v>
      </c>
      <c r="W98" s="6" t="s">
        <v>14</v>
      </c>
      <c r="X98">
        <f t="shared" si="13"/>
        <v>4194</v>
      </c>
      <c r="Y98">
        <f>_xlfn.XLOOKUP(O98,产品信息表!$A$4:$A$15,产品信息表!$E$4:$E$15)</f>
        <v>300</v>
      </c>
      <c r="Z98" s="31">
        <f t="shared" si="14"/>
        <v>0.57081545064377681</v>
      </c>
      <c r="AA98">
        <f t="shared" si="15"/>
        <v>81</v>
      </c>
    </row>
    <row r="99" spans="1:27" ht="14.5">
      <c r="A99" s="2" t="s">
        <v>218</v>
      </c>
      <c r="B99" s="3">
        <v>46150</v>
      </c>
      <c r="C99" s="3" t="str">
        <f t="shared" si="8"/>
        <v>2026-05-08</v>
      </c>
      <c r="D99" s="2" t="s">
        <v>31</v>
      </c>
      <c r="E99" s="2" t="str">
        <f>VLOOKUP(D99,客户信息表!A$3:H$23,2,0)</f>
        <v>长沙麓山科技</v>
      </c>
      <c r="F99" s="4" t="s">
        <v>53</v>
      </c>
      <c r="G99" s="4" t="str">
        <f>INDEX(客户信息表!$A$4:$H$23,MATCH(F99,客户信息表!$B$4:$B$23,0),1)</f>
        <v>KH007</v>
      </c>
      <c r="H99" s="4" t="str">
        <f>_xlfn.XLOOKUP(O99,产品信息表!$A$4:$A$15,产品信息表!$C$4:$C$15)</f>
        <v>软件服务</v>
      </c>
      <c r="I99" s="30">
        <f>DATE(MID(A99,4,4),MID(A99,8,2),MID(A99,10,2))</f>
        <v>46150</v>
      </c>
      <c r="J99" s="4" t="str">
        <f t="shared" si="9"/>
        <v>0095</v>
      </c>
      <c r="K99" s="4" t="str">
        <f>VLOOKUP(D99,客户信息表!$A$3:$H$23,5,0)</f>
        <v>B</v>
      </c>
      <c r="L99" s="2" t="s">
        <v>55</v>
      </c>
      <c r="M99" s="2" t="s">
        <v>45</v>
      </c>
      <c r="N99" s="2" t="str">
        <f t="shared" si="10"/>
        <v>华中</v>
      </c>
      <c r="O99" s="2" t="s">
        <v>12</v>
      </c>
      <c r="P99" s="4" t="s">
        <v>13</v>
      </c>
      <c r="Q99" s="5">
        <v>699</v>
      </c>
      <c r="R99" s="2">
        <v>35</v>
      </c>
      <c r="S99" s="2">
        <f t="shared" si="11"/>
        <v>35</v>
      </c>
      <c r="T99" s="2">
        <f>VLOOKUP(S99,折扣阶梯!$A$3:$C$7,2,TRUE)</f>
        <v>0.95</v>
      </c>
      <c r="U99" s="5">
        <v>24465</v>
      </c>
      <c r="V99" s="5">
        <f t="shared" si="12"/>
        <v>24465</v>
      </c>
      <c r="W99" s="2" t="s">
        <v>50</v>
      </c>
      <c r="X99">
        <f t="shared" si="13"/>
        <v>23241.75</v>
      </c>
      <c r="Y99">
        <f>_xlfn.XLOOKUP(O99,产品信息表!$A$4:$A$15,产品信息表!$E$4:$E$15)</f>
        <v>300</v>
      </c>
      <c r="Z99" s="31">
        <f t="shared" si="14"/>
        <v>0.54822679015134401</v>
      </c>
      <c r="AA99">
        <f t="shared" si="15"/>
        <v>18</v>
      </c>
    </row>
    <row r="100" spans="1:27" ht="14.5">
      <c r="A100" s="6" t="s">
        <v>219</v>
      </c>
      <c r="B100" s="6" t="s">
        <v>220</v>
      </c>
      <c r="C100" s="3" t="str">
        <f t="shared" si="8"/>
        <v>2026-05-08</v>
      </c>
      <c r="D100" s="6" t="s">
        <v>139</v>
      </c>
      <c r="E100" s="2" t="str">
        <f>VLOOKUP(D100,客户信息表!A$3:H$23,2,0)</f>
        <v>石家庄振华商贸</v>
      </c>
      <c r="F100" s="8" t="s">
        <v>140</v>
      </c>
      <c r="G100" s="4" t="str">
        <f>INDEX(客户信息表!$A$4:$H$23,MATCH(F100,客户信息表!$B$4:$B$23,0),1)</f>
        <v>KH013</v>
      </c>
      <c r="H100" s="4" t="str">
        <f>_xlfn.XLOOKUP(O100,产品信息表!$A$4:$A$15,产品信息表!$C$4:$C$15)</f>
        <v>电子数码</v>
      </c>
      <c r="I100" s="30">
        <f>DATE(MID(A100,4,4),MID(A100,8,2),MID(A100,10,2))</f>
        <v>46150</v>
      </c>
      <c r="J100" s="4" t="str">
        <f t="shared" si="9"/>
        <v>0096</v>
      </c>
      <c r="K100" s="4" t="str">
        <f>VLOOKUP(D100,客户信息表!$A$3:$H$23,5,0)</f>
        <v>C</v>
      </c>
      <c r="L100" s="6" t="s">
        <v>37</v>
      </c>
      <c r="M100" s="6" t="s">
        <v>38</v>
      </c>
      <c r="N100" s="2" t="str">
        <f t="shared" si="10"/>
        <v>华北</v>
      </c>
      <c r="O100" s="6" t="s">
        <v>62</v>
      </c>
      <c r="P100" s="8" t="s">
        <v>63</v>
      </c>
      <c r="Q100" s="9">
        <v>1299</v>
      </c>
      <c r="R100" s="6">
        <v>2</v>
      </c>
      <c r="S100" s="2">
        <f t="shared" si="11"/>
        <v>2</v>
      </c>
      <c r="T100" s="2">
        <f>VLOOKUP(S100,折扣阶梯!$A$3:$C$7,2,TRUE)</f>
        <v>1</v>
      </c>
      <c r="U100" s="9">
        <v>2598</v>
      </c>
      <c r="V100" s="5">
        <f t="shared" si="12"/>
        <v>2598</v>
      </c>
      <c r="W100" s="6" t="s">
        <v>22</v>
      </c>
      <c r="X100">
        <f t="shared" si="13"/>
        <v>2598</v>
      </c>
      <c r="Y100">
        <f>_xlfn.XLOOKUP(O100,产品信息表!$A$4:$A$15,产品信息表!$E$4:$E$15)</f>
        <v>950</v>
      </c>
      <c r="Z100" s="31">
        <f t="shared" si="14"/>
        <v>0.26866820631254812</v>
      </c>
      <c r="AA100">
        <f t="shared" si="15"/>
        <v>93</v>
      </c>
    </row>
    <row r="101" spans="1:27" ht="14.5">
      <c r="A101" s="2" t="s">
        <v>221</v>
      </c>
      <c r="B101" s="2" t="s">
        <v>222</v>
      </c>
      <c r="C101" s="3" t="str">
        <f t="shared" si="8"/>
        <v>2026-05-09</v>
      </c>
      <c r="D101" s="2" t="s">
        <v>35</v>
      </c>
      <c r="E101" s="2" t="str">
        <f>VLOOKUP(D101,客户信息表!A$3:H$23,2,0)</f>
        <v>北京中关新材</v>
      </c>
      <c r="F101" s="4" t="s">
        <v>36</v>
      </c>
      <c r="G101" s="4" t="str">
        <f>INDEX(客户信息表!$A$4:$H$23,MATCH(F101,客户信息表!$B$4:$B$23,0),1)</f>
        <v>KH019</v>
      </c>
      <c r="H101" s="4" t="str">
        <f>_xlfn.XLOOKUP(O101,产品信息表!$A$4:$A$15,产品信息表!$C$4:$C$15)</f>
        <v>软件服务</v>
      </c>
      <c r="I101" s="30">
        <f>DATE(MID(A101,4,4),MID(A101,8,2),MID(A101,10,2))</f>
        <v>46151</v>
      </c>
      <c r="J101" s="4" t="str">
        <f t="shared" si="9"/>
        <v>0097</v>
      </c>
      <c r="K101" s="4" t="str">
        <f>VLOOKUP(D101,客户信息表!$A$3:$H$23,5,0)</f>
        <v>B</v>
      </c>
      <c r="L101" s="2" t="s">
        <v>44</v>
      </c>
      <c r="M101" s="2" t="s">
        <v>109</v>
      </c>
      <c r="N101" s="2" t="str">
        <f t="shared" si="10"/>
        <v>华北</v>
      </c>
      <c r="O101" s="2" t="s">
        <v>57</v>
      </c>
      <c r="P101" s="4" t="s">
        <v>123</v>
      </c>
      <c r="Q101" s="5">
        <v>599</v>
      </c>
      <c r="R101" s="2">
        <v>35</v>
      </c>
      <c r="S101" s="2">
        <f t="shared" si="11"/>
        <v>35</v>
      </c>
      <c r="T101" s="2">
        <f>VLOOKUP(S101,折扣阶梯!$A$3:$C$7,2,TRUE)</f>
        <v>0.95</v>
      </c>
      <c r="U101" s="5">
        <v>20965</v>
      </c>
      <c r="V101" s="5">
        <f t="shared" si="12"/>
        <v>20965</v>
      </c>
      <c r="W101" s="2" t="s">
        <v>22</v>
      </c>
      <c r="X101">
        <f t="shared" si="13"/>
        <v>19916.75</v>
      </c>
      <c r="Y101">
        <f>_xlfn.XLOOKUP(O101,产品信息表!$A$4:$A$15,产品信息表!$E$4:$E$15)</f>
        <v>250</v>
      </c>
      <c r="Z101" s="31">
        <f t="shared" si="14"/>
        <v>0.56067129426236706</v>
      </c>
      <c r="AA101">
        <f t="shared" si="15"/>
        <v>24</v>
      </c>
    </row>
    <row r="102" spans="1:27" ht="14.5">
      <c r="A102" s="6" t="s">
        <v>223</v>
      </c>
      <c r="B102" s="7">
        <v>46151</v>
      </c>
      <c r="C102" s="3" t="str">
        <f t="shared" si="8"/>
        <v>2026-05-09</v>
      </c>
      <c r="D102" s="6" t="s">
        <v>35</v>
      </c>
      <c r="E102" s="2" t="str">
        <f>VLOOKUP(D102,客户信息表!A$3:H$23,2,0)</f>
        <v>北京中关新材</v>
      </c>
      <c r="F102" s="8" t="s">
        <v>36</v>
      </c>
      <c r="G102" s="4" t="str">
        <f>INDEX(客户信息表!$A$4:$H$23,MATCH(F102,客户信息表!$B$4:$B$23,0),1)</f>
        <v>KH019</v>
      </c>
      <c r="H102" s="4" t="str">
        <f>_xlfn.XLOOKUP(O102,产品信息表!$A$4:$A$15,产品信息表!$C$4:$C$15)</f>
        <v>软件服务</v>
      </c>
      <c r="I102" s="30">
        <f>DATE(MID(A102,4,4),MID(A102,8,2),MID(A102,10,2))</f>
        <v>46151</v>
      </c>
      <c r="J102" s="4" t="str">
        <f t="shared" si="9"/>
        <v>0098</v>
      </c>
      <c r="K102" s="4" t="str">
        <f>VLOOKUP(D102,客户信息表!$A$3:$H$23,5,0)</f>
        <v>B</v>
      </c>
      <c r="L102" s="6" t="s">
        <v>11</v>
      </c>
      <c r="M102" s="6" t="s">
        <v>224</v>
      </c>
      <c r="N102" s="2" t="str">
        <f t="shared" si="10"/>
        <v>华北</v>
      </c>
      <c r="O102" s="6" t="s">
        <v>57</v>
      </c>
      <c r="P102" s="8" t="s">
        <v>123</v>
      </c>
      <c r="Q102" s="9">
        <v>599</v>
      </c>
      <c r="R102" s="6">
        <v>3</v>
      </c>
      <c r="S102" s="2">
        <f t="shared" si="11"/>
        <v>3</v>
      </c>
      <c r="T102" s="2">
        <f>VLOOKUP(S102,折扣阶梯!$A$3:$C$7,2,TRUE)</f>
        <v>1</v>
      </c>
      <c r="U102" s="9">
        <v>1797</v>
      </c>
      <c r="V102" s="5">
        <f t="shared" si="12"/>
        <v>1797</v>
      </c>
      <c r="W102" s="6" t="s">
        <v>50</v>
      </c>
      <c r="X102">
        <f t="shared" si="13"/>
        <v>1797</v>
      </c>
      <c r="Y102">
        <f>_xlfn.XLOOKUP(O102,产品信息表!$A$4:$A$15,产品信息表!$E$4:$E$15)</f>
        <v>250</v>
      </c>
      <c r="Z102" s="31">
        <f t="shared" si="14"/>
        <v>0.58263772954924875</v>
      </c>
      <c r="AA102">
        <f t="shared" si="15"/>
        <v>94</v>
      </c>
    </row>
    <row r="103" spans="1:27" ht="14.5">
      <c r="A103" s="2" t="s">
        <v>225</v>
      </c>
      <c r="B103" s="3">
        <v>46152</v>
      </c>
      <c r="C103" s="3" t="str">
        <f t="shared" si="8"/>
        <v>2026-05-10</v>
      </c>
      <c r="D103" s="2" t="s">
        <v>125</v>
      </c>
      <c r="E103" s="2" t="str">
        <f>VLOOKUP(D103,客户信息表!A$3:H$23,2,0)</f>
        <v>南京紫金山软件园运营</v>
      </c>
      <c r="F103" s="4" t="s">
        <v>126</v>
      </c>
      <c r="G103" s="4" t="str">
        <f>INDEX(客户信息表!$A$4:$H$23,MATCH(F103,客户信息表!$B$4:$B$23,0),1)</f>
        <v>KH008</v>
      </c>
      <c r="H103" s="4" t="str">
        <f>_xlfn.XLOOKUP(O103,产品信息表!$A$4:$A$15,产品信息表!$C$4:$C$15)</f>
        <v>软件服务</v>
      </c>
      <c r="I103" s="30">
        <f>DATE(MID(A103,4,4),MID(A103,8,2),MID(A103,10,2))</f>
        <v>46152</v>
      </c>
      <c r="J103" s="4" t="str">
        <f t="shared" si="9"/>
        <v>0099</v>
      </c>
      <c r="K103" s="4" t="str">
        <f>VLOOKUP(D103,客户信息表!$A$3:$H$23,5,0)</f>
        <v>C</v>
      </c>
      <c r="L103" s="2" t="s">
        <v>67</v>
      </c>
      <c r="M103" s="2" t="s">
        <v>19</v>
      </c>
      <c r="N103" s="2" t="str">
        <f t="shared" si="10"/>
        <v>华东</v>
      </c>
      <c r="O103" s="2" t="s">
        <v>12</v>
      </c>
      <c r="P103" s="4" t="s">
        <v>13</v>
      </c>
      <c r="Q103" s="5">
        <v>699</v>
      </c>
      <c r="R103" s="2" t="s">
        <v>226</v>
      </c>
      <c r="S103" s="2">
        <f t="shared" si="11"/>
        <v>10</v>
      </c>
      <c r="T103" s="2">
        <f>VLOOKUP(S103,折扣阶梯!$A$3:$C$7,2,TRUE)</f>
        <v>0.95</v>
      </c>
      <c r="U103" s="5">
        <v>6990</v>
      </c>
      <c r="V103" s="5">
        <f t="shared" si="12"/>
        <v>6990</v>
      </c>
      <c r="W103" s="2" t="s">
        <v>89</v>
      </c>
      <c r="X103">
        <f t="shared" si="13"/>
        <v>6640.5</v>
      </c>
      <c r="Y103">
        <f>_xlfn.XLOOKUP(O103,产品信息表!$A$4:$A$15,产品信息表!$E$4:$E$15)</f>
        <v>300</v>
      </c>
      <c r="Z103" s="31">
        <f t="shared" si="14"/>
        <v>0.54822679015134401</v>
      </c>
      <c r="AA103">
        <f t="shared" si="15"/>
        <v>64</v>
      </c>
    </row>
    <row r="104" spans="1:27" ht="14.5">
      <c r="A104" s="6" t="s">
        <v>227</v>
      </c>
      <c r="B104" s="7">
        <v>46153</v>
      </c>
      <c r="C104" s="3" t="str">
        <f t="shared" si="8"/>
        <v>2026-05-11</v>
      </c>
      <c r="D104" s="6" t="s">
        <v>60</v>
      </c>
      <c r="E104" s="2" t="str">
        <f>VLOOKUP(D104,客户信息表!A$3:H$23,2,0)</f>
        <v>杭州云图信息</v>
      </c>
      <c r="F104" s="8" t="s">
        <v>61</v>
      </c>
      <c r="G104" s="4" t="str">
        <f>INDEX(客户信息表!$A$4:$H$23,MATCH(F104,客户信息表!$B$4:$B$23,0),1)</f>
        <v>KH005</v>
      </c>
      <c r="H104" s="4" t="str">
        <f>_xlfn.XLOOKUP(O104,产品信息表!$A$4:$A$15,产品信息表!$C$4:$C$15)</f>
        <v>软件服务</v>
      </c>
      <c r="I104" s="30">
        <f>DATE(MID(A104,4,4),MID(A104,8,2),MID(A104,10,2))</f>
        <v>46153</v>
      </c>
      <c r="J104" s="4" t="str">
        <f t="shared" si="9"/>
        <v>0100</v>
      </c>
      <c r="K104" s="4" t="str">
        <f>VLOOKUP(D104,客户信息表!$A$3:$H$23,5,0)</f>
        <v>A</v>
      </c>
      <c r="L104" s="6" t="s">
        <v>37</v>
      </c>
      <c r="M104" s="6" t="s">
        <v>19</v>
      </c>
      <c r="N104" s="2" t="str">
        <f t="shared" si="10"/>
        <v>华东</v>
      </c>
      <c r="O104" s="6" t="s">
        <v>12</v>
      </c>
      <c r="P104" s="8" t="s">
        <v>96</v>
      </c>
      <c r="Q104" s="9">
        <v>699</v>
      </c>
      <c r="R104" s="6">
        <v>33</v>
      </c>
      <c r="S104" s="2">
        <f t="shared" si="11"/>
        <v>33</v>
      </c>
      <c r="T104" s="2">
        <f>VLOOKUP(S104,折扣阶梯!$A$3:$C$7,2,TRUE)</f>
        <v>0.95</v>
      </c>
      <c r="U104" s="9">
        <v>23067</v>
      </c>
      <c r="V104" s="5">
        <f t="shared" si="12"/>
        <v>23067</v>
      </c>
      <c r="W104" s="6" t="s">
        <v>50</v>
      </c>
      <c r="X104">
        <f t="shared" si="13"/>
        <v>21913.649999999998</v>
      </c>
      <c r="Y104">
        <f>_xlfn.XLOOKUP(O104,产品信息表!$A$4:$A$15,产品信息表!$E$4:$E$15)</f>
        <v>300</v>
      </c>
      <c r="Z104" s="31">
        <f t="shared" si="14"/>
        <v>0.54822679015134401</v>
      </c>
      <c r="AA104">
        <f t="shared" si="15"/>
        <v>21</v>
      </c>
    </row>
    <row r="105" spans="1:27" ht="14.5">
      <c r="A105" s="2" t="s">
        <v>228</v>
      </c>
      <c r="B105" s="3">
        <v>46154</v>
      </c>
      <c r="C105" s="3" t="str">
        <f t="shared" si="8"/>
        <v>2026-05-12</v>
      </c>
      <c r="D105" s="2" t="s">
        <v>84</v>
      </c>
      <c r="E105" s="2" t="str">
        <f>VLOOKUP(D105,客户信息表!A$3:H$23,2,0)</f>
        <v>昆明滇池科技</v>
      </c>
      <c r="F105" s="4" t="s">
        <v>85</v>
      </c>
      <c r="G105" s="4" t="str">
        <f>INDEX(客户信息表!$A$4:$H$23,MATCH(F105,客户信息表!$B$4:$B$23,0),1)</f>
        <v>KH016</v>
      </c>
      <c r="H105" s="4" t="str">
        <f>_xlfn.XLOOKUP(O105,产品信息表!$A$4:$A$15,产品信息表!$C$4:$C$15)</f>
        <v>电子数码</v>
      </c>
      <c r="I105" s="30">
        <f>DATE(MID(A105,4,4),MID(A105,8,2),MID(A105,10,2))</f>
        <v>46154</v>
      </c>
      <c r="J105" s="4" t="str">
        <f t="shared" si="9"/>
        <v>0101</v>
      </c>
      <c r="K105" s="4" t="str">
        <f>VLOOKUP(D105,客户信息表!$A$3:$H$23,5,0)</f>
        <v>C</v>
      </c>
      <c r="L105" s="2" t="s">
        <v>44</v>
      </c>
      <c r="M105" s="2" t="s">
        <v>68</v>
      </c>
      <c r="N105" s="2" t="str">
        <f t="shared" si="10"/>
        <v>西南</v>
      </c>
      <c r="O105" s="2" t="s">
        <v>62</v>
      </c>
      <c r="P105" s="4" t="s">
        <v>63</v>
      </c>
      <c r="Q105" s="5">
        <v>1299</v>
      </c>
      <c r="R105" s="2">
        <v>11</v>
      </c>
      <c r="S105" s="2">
        <f t="shared" si="11"/>
        <v>11</v>
      </c>
      <c r="T105" s="2">
        <f>VLOOKUP(S105,折扣阶梯!$A$3:$C$7,2,TRUE)</f>
        <v>0.95</v>
      </c>
      <c r="U105" s="5">
        <v>14289</v>
      </c>
      <c r="V105" s="5">
        <f t="shared" si="12"/>
        <v>14289</v>
      </c>
      <c r="W105" s="2" t="s">
        <v>50</v>
      </c>
      <c r="X105">
        <f t="shared" si="13"/>
        <v>13574.55</v>
      </c>
      <c r="Y105">
        <f>_xlfn.XLOOKUP(O105,产品信息表!$A$4:$A$15,产品信息表!$E$4:$E$15)</f>
        <v>950</v>
      </c>
      <c r="Z105" s="31">
        <f t="shared" si="14"/>
        <v>0.23017705927636639</v>
      </c>
      <c r="AA105">
        <f t="shared" si="15"/>
        <v>39</v>
      </c>
    </row>
    <row r="106" spans="1:27" ht="14.5">
      <c r="A106" s="6" t="s">
        <v>119</v>
      </c>
      <c r="B106" s="7">
        <v>46154</v>
      </c>
      <c r="C106" s="3" t="str">
        <f t="shared" si="8"/>
        <v>2026-05-12</v>
      </c>
      <c r="D106" s="6" t="s">
        <v>113</v>
      </c>
      <c r="E106" s="2" t="str">
        <f>VLOOKUP(D106,客户信息表!A$3:H$23,2,0)</f>
        <v>宁波海港实业</v>
      </c>
      <c r="F106" s="8" t="s">
        <v>114</v>
      </c>
      <c r="G106" s="4" t="str">
        <f>INDEX(客户信息表!$A$4:$H$23,MATCH(F106,客户信息表!$B$4:$B$23,0),1)</f>
        <v>KH014</v>
      </c>
      <c r="H106" s="4" t="str">
        <f>_xlfn.XLOOKUP(O106,产品信息表!$A$4:$A$15,产品信息表!$C$4:$C$15)</f>
        <v>电子数码</v>
      </c>
      <c r="I106" s="30">
        <f>DATE(MID(A106,4,4),MID(A106,8,2),MID(A106,10,2))</f>
        <v>46154</v>
      </c>
      <c r="J106" s="4" t="str">
        <f t="shared" si="9"/>
        <v>0102</v>
      </c>
      <c r="K106" s="4" t="str">
        <f>VLOOKUP(D106,客户信息表!$A$3:$H$23,5,0)</f>
        <v>B</v>
      </c>
      <c r="L106" s="6" t="s">
        <v>37</v>
      </c>
      <c r="M106" s="6" t="s">
        <v>19</v>
      </c>
      <c r="N106" s="2" t="str">
        <f t="shared" si="10"/>
        <v>华东</v>
      </c>
      <c r="O106" s="6" t="s">
        <v>91</v>
      </c>
      <c r="P106" s="8" t="s">
        <v>102</v>
      </c>
      <c r="Q106" s="9">
        <v>5699</v>
      </c>
      <c r="R106" s="6">
        <v>10</v>
      </c>
      <c r="S106" s="2">
        <f t="shared" si="11"/>
        <v>10</v>
      </c>
      <c r="T106" s="2">
        <f>VLOOKUP(S106,折扣阶梯!$A$3:$C$7,2,TRUE)</f>
        <v>0.95</v>
      </c>
      <c r="U106" s="9">
        <v>56990</v>
      </c>
      <c r="V106" s="5">
        <f t="shared" si="12"/>
        <v>56990</v>
      </c>
      <c r="W106" s="6" t="s">
        <v>22</v>
      </c>
      <c r="X106">
        <f t="shared" si="13"/>
        <v>54140.5</v>
      </c>
      <c r="Y106">
        <f>_xlfn.XLOOKUP(O106,产品信息表!$A$4:$A$15,产品信息表!$E$4:$E$15)</f>
        <v>4800</v>
      </c>
      <c r="Z106" s="31">
        <f t="shared" si="14"/>
        <v>0.1134178664770366</v>
      </c>
      <c r="AA106">
        <f t="shared" si="15"/>
        <v>2</v>
      </c>
    </row>
    <row r="107" spans="1:27" ht="14.5">
      <c r="A107" s="2" t="s">
        <v>229</v>
      </c>
      <c r="B107" s="3">
        <v>46154</v>
      </c>
      <c r="C107" s="3" t="str">
        <f t="shared" si="8"/>
        <v>2026-05-12</v>
      </c>
      <c r="D107" s="2" t="s">
        <v>9</v>
      </c>
      <c r="E107" s="2" t="str">
        <f>VLOOKUP(D107,客户信息表!A$3:H$23,2,0)</f>
        <v>广州启航教育</v>
      </c>
      <c r="F107" s="4" t="s">
        <v>10</v>
      </c>
      <c r="G107" s="4" t="str">
        <f>INDEX(客户信息表!$A$4:$H$23,MATCH(F107,客户信息表!$B$4:$B$23,0),1)</f>
        <v>KH003</v>
      </c>
      <c r="H107" s="4" t="str">
        <f>_xlfn.XLOOKUP(O107,产品信息表!$A$4:$A$15,产品信息表!$C$4:$C$15)</f>
        <v>软件服务</v>
      </c>
      <c r="I107" s="30">
        <f>DATE(MID(A107,4,4),MID(A107,8,2),MID(A107,10,2))</f>
        <v>46154</v>
      </c>
      <c r="J107" s="4" t="str">
        <f t="shared" si="9"/>
        <v>0103</v>
      </c>
      <c r="K107" s="4" t="str">
        <f>VLOOKUP(D107,客户信息表!$A$3:$H$23,5,0)</f>
        <v>A</v>
      </c>
      <c r="L107" s="2" t="s">
        <v>78</v>
      </c>
      <c r="M107" s="2" t="s">
        <v>25</v>
      </c>
      <c r="N107" s="2" t="str">
        <f t="shared" si="10"/>
        <v>华南</v>
      </c>
      <c r="O107" s="2" t="s">
        <v>12</v>
      </c>
      <c r="P107" s="4" t="s">
        <v>13</v>
      </c>
      <c r="Q107" s="5">
        <v>699</v>
      </c>
      <c r="R107" s="2">
        <v>38</v>
      </c>
      <c r="S107" s="2">
        <f t="shared" si="11"/>
        <v>38</v>
      </c>
      <c r="T107" s="2">
        <f>VLOOKUP(S107,折扣阶梯!$A$3:$C$7,2,TRUE)</f>
        <v>0.95</v>
      </c>
      <c r="U107" s="5">
        <v>26562</v>
      </c>
      <c r="V107" s="5">
        <f t="shared" si="12"/>
        <v>26562</v>
      </c>
      <c r="W107" s="2" t="s">
        <v>89</v>
      </c>
      <c r="X107">
        <f t="shared" si="13"/>
        <v>25233.899999999998</v>
      </c>
      <c r="Y107">
        <f>_xlfn.XLOOKUP(O107,产品信息表!$A$4:$A$15,产品信息表!$E$4:$E$15)</f>
        <v>300</v>
      </c>
      <c r="Z107" s="31">
        <f t="shared" si="14"/>
        <v>0.54822679015134401</v>
      </c>
      <c r="AA107">
        <f t="shared" si="15"/>
        <v>14</v>
      </c>
    </row>
    <row r="108" spans="1:27" ht="14.5">
      <c r="A108" s="6" t="s">
        <v>230</v>
      </c>
      <c r="B108" s="6" t="s">
        <v>231</v>
      </c>
      <c r="C108" s="3" t="str">
        <f t="shared" si="8"/>
        <v>2026-05-12</v>
      </c>
      <c r="D108" s="6" t="s">
        <v>42</v>
      </c>
      <c r="E108" s="2" t="str">
        <f>VLOOKUP(D108,客户信息表!A$3:H$23,2,0)</f>
        <v>郑州中原物流</v>
      </c>
      <c r="F108" s="8" t="s">
        <v>43</v>
      </c>
      <c r="G108" s="4" t="str">
        <f>INDEX(客户信息表!$A$4:$H$23,MATCH(F108,客户信息表!$B$4:$B$23,0),1)</f>
        <v>KH017</v>
      </c>
      <c r="H108" s="4" t="str">
        <f>_xlfn.XLOOKUP(O108,产品信息表!$A$4:$A$15,产品信息表!$C$4:$C$15)</f>
        <v>电子数码</v>
      </c>
      <c r="I108" s="30">
        <f>DATE(MID(A108,4,4),MID(A108,8,2),MID(A108,10,2))</f>
        <v>46154</v>
      </c>
      <c r="J108" s="4" t="str">
        <f t="shared" si="9"/>
        <v>0104</v>
      </c>
      <c r="K108" s="4" t="str">
        <f>VLOOKUP(D108,客户信息表!$A$3:$H$23,5,0)</f>
        <v>B</v>
      </c>
      <c r="L108" s="6" t="s">
        <v>37</v>
      </c>
      <c r="M108" s="6" t="s">
        <v>33</v>
      </c>
      <c r="N108" s="2" t="str">
        <f t="shared" si="10"/>
        <v>华中</v>
      </c>
      <c r="O108" s="6" t="s">
        <v>192</v>
      </c>
      <c r="P108" s="8" t="s">
        <v>193</v>
      </c>
      <c r="Q108" s="9">
        <v>4299</v>
      </c>
      <c r="R108" s="6">
        <v>5</v>
      </c>
      <c r="S108" s="2">
        <f t="shared" si="11"/>
        <v>5</v>
      </c>
      <c r="T108" s="2">
        <f>VLOOKUP(S108,折扣阶梯!$A$3:$C$7,2,TRUE)</f>
        <v>1</v>
      </c>
      <c r="U108" s="9">
        <v>21495</v>
      </c>
      <c r="V108" s="5">
        <f t="shared" si="12"/>
        <v>21495</v>
      </c>
      <c r="W108" s="6" t="s">
        <v>50</v>
      </c>
      <c r="X108">
        <f t="shared" si="13"/>
        <v>21495</v>
      </c>
      <c r="Y108">
        <f>_xlfn.XLOOKUP(O108,产品信息表!$A$4:$A$15,产品信息表!$E$4:$E$15)</f>
        <v>3500</v>
      </c>
      <c r="Z108" s="31">
        <f t="shared" si="14"/>
        <v>0.18585717608746219</v>
      </c>
      <c r="AA108">
        <f t="shared" si="15"/>
        <v>20</v>
      </c>
    </row>
    <row r="109" spans="1:27" ht="14.5">
      <c r="A109" s="2" t="s">
        <v>232</v>
      </c>
      <c r="B109" s="3">
        <v>46176</v>
      </c>
      <c r="C109" s="3" t="str">
        <f t="shared" si="8"/>
        <v>2026-06-03</v>
      </c>
      <c r="D109" s="2" t="s">
        <v>107</v>
      </c>
      <c r="E109" s="2" t="str">
        <f>VLOOKUP(D109,客户信息表!A$3:H$23,2,0)</f>
        <v>天津海河传媒</v>
      </c>
      <c r="F109" s="4" t="s">
        <v>108</v>
      </c>
      <c r="G109" s="4" t="str">
        <f>INDEX(客户信息表!$A$4:$H$23,MATCH(F109,客户信息表!$B$4:$B$23,0),1)</f>
        <v>KH009</v>
      </c>
      <c r="H109" s="4" t="str">
        <f>_xlfn.XLOOKUP(O109,产品信息表!$A$4:$A$15,产品信息表!$C$4:$C$15)</f>
        <v>办公设备</v>
      </c>
      <c r="I109" s="30">
        <f>DATE(MID(A109,4,4),MID(A109,8,2),MID(A109,10,2))</f>
        <v>46176</v>
      </c>
      <c r="J109" s="4" t="str">
        <f t="shared" si="9"/>
        <v>0126</v>
      </c>
      <c r="K109" s="4" t="str">
        <f>VLOOKUP(D109,客户信息表!$A$3:$H$23,5,0)</f>
        <v>C</v>
      </c>
      <c r="L109" s="2" t="s">
        <v>11</v>
      </c>
      <c r="M109" s="2" t="s">
        <v>38</v>
      </c>
      <c r="N109" s="2" t="str">
        <f t="shared" si="10"/>
        <v>华北</v>
      </c>
      <c r="O109" s="2" t="s">
        <v>176</v>
      </c>
      <c r="P109" s="4" t="s">
        <v>177</v>
      </c>
      <c r="Q109" s="5">
        <v>3599</v>
      </c>
      <c r="R109" s="2">
        <v>11</v>
      </c>
      <c r="S109" s="2">
        <f t="shared" si="11"/>
        <v>11</v>
      </c>
      <c r="T109" s="2">
        <f>VLOOKUP(S109,折扣阶梯!$A$3:$C$7,2,TRUE)</f>
        <v>0.95</v>
      </c>
      <c r="U109" s="5">
        <v>39589</v>
      </c>
      <c r="V109" s="5">
        <f t="shared" si="12"/>
        <v>39589</v>
      </c>
      <c r="W109" s="2" t="s">
        <v>50</v>
      </c>
      <c r="X109">
        <f t="shared" si="13"/>
        <v>37609.549999999996</v>
      </c>
      <c r="Y109">
        <f>_xlfn.XLOOKUP(O109,产品信息表!$A$4:$A$15,产品信息表!$E$4:$E$15)</f>
        <v>2700</v>
      </c>
      <c r="Z109" s="31">
        <f t="shared" si="14"/>
        <v>0.21030695661075435</v>
      </c>
      <c r="AA109">
        <f t="shared" si="15"/>
        <v>7</v>
      </c>
    </row>
    <row r="110" spans="1:27" ht="14.5">
      <c r="A110" s="6" t="s">
        <v>233</v>
      </c>
      <c r="B110" s="7">
        <v>46155</v>
      </c>
      <c r="C110" s="3" t="str">
        <f t="shared" si="8"/>
        <v>2026-05-13</v>
      </c>
      <c r="D110" s="6" t="s">
        <v>35</v>
      </c>
      <c r="E110" s="2" t="str">
        <f>VLOOKUP(D110,客户信息表!A$3:H$23,2,0)</f>
        <v>北京中关新材</v>
      </c>
      <c r="F110" s="8" t="s">
        <v>36</v>
      </c>
      <c r="G110" s="4" t="str">
        <f>INDEX(客户信息表!$A$4:$H$23,MATCH(F110,客户信息表!$B$4:$B$23,0),1)</f>
        <v>KH019</v>
      </c>
      <c r="H110" s="4" t="str">
        <f>_xlfn.XLOOKUP(O110,产品信息表!$A$4:$A$15,产品信息表!$C$4:$C$15)</f>
        <v>办公耗材</v>
      </c>
      <c r="I110" s="30">
        <f>DATE(MID(A110,4,4),MID(A110,8,2),MID(A110,10,2))</f>
        <v>46155</v>
      </c>
      <c r="J110" s="4" t="str">
        <f t="shared" si="9"/>
        <v>0105</v>
      </c>
      <c r="K110" s="4" t="str">
        <f>VLOOKUP(D110,客户信息表!$A$3:$H$23,5,0)</f>
        <v>B</v>
      </c>
      <c r="L110" s="6" t="s">
        <v>11</v>
      </c>
      <c r="M110" s="6" t="s">
        <v>38</v>
      </c>
      <c r="N110" s="2" t="str">
        <f t="shared" si="10"/>
        <v>华北</v>
      </c>
      <c r="O110" s="6" t="s">
        <v>73</v>
      </c>
      <c r="P110" s="8" t="s">
        <v>74</v>
      </c>
      <c r="Q110" s="9">
        <v>385</v>
      </c>
      <c r="R110" s="6">
        <v>26</v>
      </c>
      <c r="S110" s="2">
        <f t="shared" si="11"/>
        <v>26</v>
      </c>
      <c r="T110" s="2">
        <f>VLOOKUP(S110,折扣阶梯!$A$3:$C$7,2,TRUE)</f>
        <v>0.95</v>
      </c>
      <c r="U110" s="9">
        <v>10010</v>
      </c>
      <c r="V110" s="5">
        <f t="shared" si="12"/>
        <v>10010</v>
      </c>
      <c r="W110" s="6" t="s">
        <v>50</v>
      </c>
      <c r="X110">
        <f t="shared" si="13"/>
        <v>9509.5</v>
      </c>
      <c r="Y110">
        <f>_xlfn.XLOOKUP(O110,产品信息表!$A$4:$A$15,产品信息表!$E$4:$E$15)</f>
        <v>260</v>
      </c>
      <c r="Z110" s="31">
        <f t="shared" si="14"/>
        <v>0.28913192071086807</v>
      </c>
      <c r="AA110">
        <f t="shared" si="15"/>
        <v>44</v>
      </c>
    </row>
    <row r="111" spans="1:27" ht="14.5">
      <c r="A111" s="2" t="s">
        <v>234</v>
      </c>
      <c r="B111" s="3">
        <v>46156</v>
      </c>
      <c r="C111" s="3" t="str">
        <f t="shared" si="8"/>
        <v>2026-05-14</v>
      </c>
      <c r="D111" s="2" t="s">
        <v>113</v>
      </c>
      <c r="E111" s="2" t="str">
        <f>VLOOKUP(D111,客户信息表!A$3:H$23,2,0)</f>
        <v>宁波海港实业</v>
      </c>
      <c r="F111" s="4" t="s">
        <v>114</v>
      </c>
      <c r="G111" s="4" t="str">
        <f>INDEX(客户信息表!$A$4:$H$23,MATCH(F111,客户信息表!$B$4:$B$23,0),1)</f>
        <v>KH014</v>
      </c>
      <c r="H111" s="4" t="str">
        <f>_xlfn.XLOOKUP(O111,产品信息表!$A$4:$A$15,产品信息表!$C$4:$C$15)</f>
        <v>办公耗材</v>
      </c>
      <c r="I111" s="30">
        <f>DATE(MID(A111,4,4),MID(A111,8,2),MID(A111,10,2))</f>
        <v>46156</v>
      </c>
      <c r="J111" s="4" t="str">
        <f t="shared" si="9"/>
        <v>0106</v>
      </c>
      <c r="K111" s="4" t="str">
        <f>VLOOKUP(D111,客户信息表!$A$3:$H$23,5,0)</f>
        <v>B</v>
      </c>
      <c r="L111" s="2" t="s">
        <v>37</v>
      </c>
      <c r="M111" s="2" t="s">
        <v>19</v>
      </c>
      <c r="N111" s="2" t="str">
        <f t="shared" si="10"/>
        <v>华东</v>
      </c>
      <c r="O111" s="2" t="s">
        <v>48</v>
      </c>
      <c r="P111" s="4" t="s">
        <v>49</v>
      </c>
      <c r="Q111" s="5">
        <v>45</v>
      </c>
      <c r="R111" s="2" t="s">
        <v>235</v>
      </c>
      <c r="S111" s="2">
        <f t="shared" si="11"/>
        <v>97</v>
      </c>
      <c r="T111" s="2">
        <f>VLOOKUP(S111,折扣阶梯!$A$3:$C$7,2,TRUE)</f>
        <v>0.9</v>
      </c>
      <c r="U111" s="5">
        <v>4365</v>
      </c>
      <c r="V111" s="5">
        <f t="shared" si="12"/>
        <v>4365</v>
      </c>
      <c r="W111" s="2" t="s">
        <v>50</v>
      </c>
      <c r="X111">
        <f t="shared" si="13"/>
        <v>3928.5</v>
      </c>
      <c r="Y111">
        <f>_xlfn.XLOOKUP(O111,产品信息表!$A$4:$A$15,产品信息表!$E$4:$E$15)</f>
        <v>28</v>
      </c>
      <c r="Z111" s="31">
        <f t="shared" si="14"/>
        <v>0.30864197530864196</v>
      </c>
      <c r="AA111">
        <f t="shared" si="15"/>
        <v>70</v>
      </c>
    </row>
    <row r="112" spans="1:27" ht="14.5">
      <c r="A112" s="6" t="s">
        <v>236</v>
      </c>
      <c r="B112" s="7">
        <v>46156</v>
      </c>
      <c r="C112" s="3" t="str">
        <f t="shared" si="8"/>
        <v>2026-05-14</v>
      </c>
      <c r="D112" s="6" t="s">
        <v>31</v>
      </c>
      <c r="E112" s="2" t="str">
        <f>VLOOKUP(D112,客户信息表!A$3:H$23,2,0)</f>
        <v>长沙麓山科技</v>
      </c>
      <c r="F112" s="8" t="s">
        <v>32</v>
      </c>
      <c r="G112" s="4" t="str">
        <f>INDEX(客户信息表!$A$4:$H$23,MATCH(F112,客户信息表!$B$4:$B$23,0),1)</f>
        <v>KH012</v>
      </c>
      <c r="H112" s="4" t="str">
        <f>_xlfn.XLOOKUP(O112,产品信息表!$A$4:$A$15,产品信息表!$C$4:$C$15)</f>
        <v>软件服务</v>
      </c>
      <c r="I112" s="30">
        <f>DATE(MID(A112,4,4),MID(A112,8,2),MID(A112,10,2))</f>
        <v>46156</v>
      </c>
      <c r="J112" s="4" t="str">
        <f t="shared" si="9"/>
        <v>0107</v>
      </c>
      <c r="K112" s="4" t="str">
        <f>VLOOKUP(D112,客户信息表!$A$3:$H$23,5,0)</f>
        <v>B</v>
      </c>
      <c r="L112" s="6" t="s">
        <v>24</v>
      </c>
      <c r="M112" s="6" t="s">
        <v>45</v>
      </c>
      <c r="N112" s="2" t="str">
        <f t="shared" si="10"/>
        <v>华中</v>
      </c>
      <c r="O112" s="6" t="s">
        <v>57</v>
      </c>
      <c r="P112" s="8" t="s">
        <v>58</v>
      </c>
      <c r="Q112" s="9">
        <v>599</v>
      </c>
      <c r="R112" s="6">
        <v>3</v>
      </c>
      <c r="S112" s="2">
        <f t="shared" si="11"/>
        <v>3</v>
      </c>
      <c r="T112" s="2">
        <f>VLOOKUP(S112,折扣阶梯!$A$3:$C$7,2,TRUE)</f>
        <v>1</v>
      </c>
      <c r="U112" s="9">
        <v>1797</v>
      </c>
      <c r="V112" s="5">
        <f t="shared" si="12"/>
        <v>1797</v>
      </c>
      <c r="W112" s="6" t="s">
        <v>50</v>
      </c>
      <c r="X112">
        <f t="shared" si="13"/>
        <v>1797</v>
      </c>
      <c r="Y112">
        <f>_xlfn.XLOOKUP(O112,产品信息表!$A$4:$A$15,产品信息表!$E$4:$E$15)</f>
        <v>250</v>
      </c>
      <c r="Z112" s="31">
        <f t="shared" si="14"/>
        <v>0.58263772954924875</v>
      </c>
      <c r="AA112">
        <f t="shared" si="15"/>
        <v>85</v>
      </c>
    </row>
    <row r="113" spans="1:27" ht="14.5">
      <c r="A113" s="2" t="s">
        <v>237</v>
      </c>
      <c r="B113" s="3">
        <v>46157</v>
      </c>
      <c r="C113" s="3" t="str">
        <f t="shared" si="8"/>
        <v>2026-05-15</v>
      </c>
      <c r="D113" s="2" t="s">
        <v>71</v>
      </c>
      <c r="E113" s="2" t="str">
        <f>VLOOKUP(D113,客户信息表!A$3:H$23,2,0)</f>
        <v>成都天府商贸</v>
      </c>
      <c r="F113" s="4" t="s">
        <v>72</v>
      </c>
      <c r="G113" s="4" t="str">
        <f>INDEX(客户信息表!$A$4:$H$23,MATCH(F113,客户信息表!$B$4:$B$23,0),1)</f>
        <v>KH006</v>
      </c>
      <c r="H113" s="4" t="str">
        <f>_xlfn.XLOOKUP(O113,产品信息表!$A$4:$A$15,产品信息表!$C$4:$C$15)</f>
        <v>办公耗材</v>
      </c>
      <c r="I113" s="30">
        <f>DATE(MID(A113,4,4),MID(A113,8,2),MID(A113,10,2))</f>
        <v>46157</v>
      </c>
      <c r="J113" s="4" t="str">
        <f t="shared" si="9"/>
        <v>0108</v>
      </c>
      <c r="K113" s="4" t="str">
        <f>VLOOKUP(D113,客户信息表!$A$3:$H$23,5,0)</f>
        <v>C</v>
      </c>
      <c r="L113" s="2" t="s">
        <v>44</v>
      </c>
      <c r="M113" s="2" t="s">
        <v>68</v>
      </c>
      <c r="N113" s="2" t="str">
        <f t="shared" si="10"/>
        <v>西南</v>
      </c>
      <c r="O113" s="2" t="s">
        <v>39</v>
      </c>
      <c r="P113" s="4" t="s">
        <v>40</v>
      </c>
      <c r="Q113" s="5">
        <v>128</v>
      </c>
      <c r="R113" s="2">
        <v>69</v>
      </c>
      <c r="S113" s="2">
        <f t="shared" si="11"/>
        <v>69</v>
      </c>
      <c r="T113" s="2">
        <f>VLOOKUP(S113,折扣阶梯!$A$3:$C$7,2,TRUE)</f>
        <v>0.9</v>
      </c>
      <c r="U113" s="10" t="s">
        <v>238</v>
      </c>
      <c r="V113" s="5">
        <f t="shared" si="12"/>
        <v>8832</v>
      </c>
      <c r="W113" s="2" t="s">
        <v>50</v>
      </c>
      <c r="X113">
        <f t="shared" si="13"/>
        <v>7948.8</v>
      </c>
      <c r="Y113">
        <f>_xlfn.XLOOKUP(O113,产品信息表!$A$4:$A$15,产品信息表!$E$4:$E$15)</f>
        <v>95</v>
      </c>
      <c r="Z113" s="31">
        <f t="shared" si="14"/>
        <v>0.17534722222222224</v>
      </c>
      <c r="AA113">
        <f t="shared" si="15"/>
        <v>47</v>
      </c>
    </row>
    <row r="114" spans="1:27" ht="14.5">
      <c r="A114" s="6" t="s">
        <v>239</v>
      </c>
      <c r="B114" s="6" t="s">
        <v>240</v>
      </c>
      <c r="C114" s="3" t="str">
        <f t="shared" si="8"/>
        <v>2026-05-18</v>
      </c>
      <c r="D114" s="6" t="s">
        <v>60</v>
      </c>
      <c r="E114" s="2" t="str">
        <f>VLOOKUP(D114,客户信息表!A$3:H$23,2,0)</f>
        <v>杭州云图信息</v>
      </c>
      <c r="F114" s="8" t="s">
        <v>61</v>
      </c>
      <c r="G114" s="4" t="str">
        <f>INDEX(客户信息表!$A$4:$H$23,MATCH(F114,客户信息表!$B$4:$B$23,0),1)</f>
        <v>KH005</v>
      </c>
      <c r="H114" s="4" t="str">
        <f>_xlfn.XLOOKUP(O114,产品信息表!$A$4:$A$15,产品信息表!$C$4:$C$15)</f>
        <v>办公耗材</v>
      </c>
      <c r="I114" s="30">
        <f>DATE(MID(A114,4,4),MID(A114,8,2),MID(A114,10,2))</f>
        <v>46160</v>
      </c>
      <c r="J114" s="4" t="str">
        <f t="shared" si="9"/>
        <v>0109</v>
      </c>
      <c r="K114" s="4" t="str">
        <f>VLOOKUP(D114,客户信息表!$A$3:$H$23,5,0)</f>
        <v>A</v>
      </c>
      <c r="L114" s="6" t="s">
        <v>11</v>
      </c>
      <c r="M114" s="6" t="s">
        <v>115</v>
      </c>
      <c r="N114" s="2" t="str">
        <f t="shared" si="10"/>
        <v>华东</v>
      </c>
      <c r="O114" s="6" t="s">
        <v>48</v>
      </c>
      <c r="P114" s="8" t="s">
        <v>49</v>
      </c>
      <c r="Q114" s="9">
        <v>45</v>
      </c>
      <c r="R114" s="6">
        <v>15</v>
      </c>
      <c r="S114" s="2">
        <f t="shared" si="11"/>
        <v>15</v>
      </c>
      <c r="T114" s="2">
        <f>VLOOKUP(S114,折扣阶梯!$A$3:$C$7,2,TRUE)</f>
        <v>0.95</v>
      </c>
      <c r="U114" s="9">
        <v>675</v>
      </c>
      <c r="V114" s="5">
        <f t="shared" si="12"/>
        <v>675</v>
      </c>
      <c r="W114" s="6" t="s">
        <v>50</v>
      </c>
      <c r="X114">
        <f t="shared" si="13"/>
        <v>641.25</v>
      </c>
      <c r="Y114">
        <f>_xlfn.XLOOKUP(O114,产品信息表!$A$4:$A$15,产品信息表!$E$4:$E$15)</f>
        <v>28</v>
      </c>
      <c r="Z114" s="31">
        <f t="shared" si="14"/>
        <v>0.34502923976608185</v>
      </c>
      <c r="AA114">
        <f t="shared" si="15"/>
        <v>89</v>
      </c>
    </row>
    <row r="115" spans="1:27" ht="14.5">
      <c r="A115" s="2" t="s">
        <v>241</v>
      </c>
      <c r="B115" s="3">
        <v>46162</v>
      </c>
      <c r="C115" s="3" t="str">
        <f t="shared" si="8"/>
        <v>2026-05-20</v>
      </c>
      <c r="D115" s="2" t="s">
        <v>16</v>
      </c>
      <c r="E115" s="2" t="str">
        <f>VLOOKUP(D115,客户信息表!A$3:H$23,2,0)</f>
        <v>上海锦程贸易</v>
      </c>
      <c r="F115" s="4" t="s">
        <v>17</v>
      </c>
      <c r="G115" s="4" t="str">
        <f>INDEX(客户信息表!$A$4:$H$23,MATCH(F115,客户信息表!$B$4:$B$23,0),1)</f>
        <v>KH002</v>
      </c>
      <c r="H115" s="4" t="str">
        <f>_xlfn.XLOOKUP(O115,产品信息表!$A$4:$A$15,产品信息表!$C$4:$C$15)</f>
        <v>办公耗材</v>
      </c>
      <c r="I115" s="30">
        <f>DATE(MID(A115,4,4),MID(A115,8,2),MID(A115,10,2))</f>
        <v>46162</v>
      </c>
      <c r="J115" s="4" t="str">
        <f t="shared" si="9"/>
        <v>0110</v>
      </c>
      <c r="K115" s="4" t="str">
        <f>VLOOKUP(D115,客户信息表!$A$3:$H$23,5,0)</f>
        <v>B</v>
      </c>
      <c r="L115" s="2" t="s">
        <v>24</v>
      </c>
      <c r="M115" s="2" t="s">
        <v>115</v>
      </c>
      <c r="N115" s="2" t="str">
        <f t="shared" si="10"/>
        <v>华东</v>
      </c>
      <c r="O115" s="2" t="s">
        <v>39</v>
      </c>
      <c r="P115" s="4" t="s">
        <v>40</v>
      </c>
      <c r="Q115" s="5">
        <v>128</v>
      </c>
      <c r="R115" s="2">
        <v>100</v>
      </c>
      <c r="S115" s="2">
        <f t="shared" si="11"/>
        <v>100</v>
      </c>
      <c r="T115" s="2">
        <f>VLOOKUP(S115,折扣阶梯!$A$3:$C$7,2,TRUE)</f>
        <v>0.85</v>
      </c>
      <c r="U115" s="5">
        <v>12800</v>
      </c>
      <c r="V115" s="5">
        <f t="shared" si="12"/>
        <v>12800</v>
      </c>
      <c r="W115" s="2" t="s">
        <v>50</v>
      </c>
      <c r="X115">
        <f t="shared" si="13"/>
        <v>10880</v>
      </c>
      <c r="Y115">
        <f>_xlfn.XLOOKUP(O115,产品信息表!$A$4:$A$15,产品信息表!$E$4:$E$15)</f>
        <v>95</v>
      </c>
      <c r="Z115" s="31">
        <f t="shared" si="14"/>
        <v>0.12683823529411764</v>
      </c>
      <c r="AA115">
        <f t="shared" si="15"/>
        <v>38</v>
      </c>
    </row>
    <row r="116" spans="1:27" ht="14.5">
      <c r="A116" s="6" t="s">
        <v>242</v>
      </c>
      <c r="B116" s="6" t="s">
        <v>243</v>
      </c>
      <c r="C116" s="3" t="str">
        <f t="shared" si="8"/>
        <v>2026-05-21</v>
      </c>
      <c r="D116" s="6" t="s">
        <v>76</v>
      </c>
      <c r="E116" s="2" t="str">
        <f>VLOOKUP(D116,客户信息表!A$3:H$23,2,0)</f>
        <v>北京华信科技</v>
      </c>
      <c r="F116" s="8" t="s">
        <v>77</v>
      </c>
      <c r="G116" s="4" t="str">
        <f>INDEX(客户信息表!$A$4:$H$23,MATCH(F116,客户信息表!$B$4:$B$23,0),1)</f>
        <v>KH001</v>
      </c>
      <c r="H116" s="4" t="str">
        <f>_xlfn.XLOOKUP(O116,产品信息表!$A$4:$A$15,产品信息表!$C$4:$C$15)</f>
        <v>办公耗材</v>
      </c>
      <c r="I116" s="30">
        <f>DATE(MID(A116,4,4),MID(A116,8,2),MID(A116,10,2))</f>
        <v>46163</v>
      </c>
      <c r="J116" s="4" t="str">
        <f t="shared" si="9"/>
        <v>0111</v>
      </c>
      <c r="K116" s="4" t="str">
        <f>VLOOKUP(D116,客户信息表!$A$3:$H$23,5,0)</f>
        <v>A</v>
      </c>
      <c r="L116" s="6" t="s">
        <v>18</v>
      </c>
      <c r="M116" s="6" t="s">
        <v>38</v>
      </c>
      <c r="N116" s="2" t="str">
        <f t="shared" si="10"/>
        <v>华北</v>
      </c>
      <c r="O116" s="6" t="s">
        <v>39</v>
      </c>
      <c r="P116" s="8" t="s">
        <v>40</v>
      </c>
      <c r="Q116" s="9">
        <v>128</v>
      </c>
      <c r="R116" s="6">
        <v>114</v>
      </c>
      <c r="S116" s="2">
        <f t="shared" si="11"/>
        <v>114</v>
      </c>
      <c r="T116" s="2">
        <f>VLOOKUP(S116,折扣阶梯!$A$3:$C$7,2,TRUE)</f>
        <v>0.85</v>
      </c>
      <c r="U116" s="9">
        <v>14592</v>
      </c>
      <c r="V116" s="5">
        <f t="shared" si="12"/>
        <v>14592</v>
      </c>
      <c r="W116" s="6" t="s">
        <v>50</v>
      </c>
      <c r="X116">
        <f t="shared" si="13"/>
        <v>12403.199999999999</v>
      </c>
      <c r="Y116">
        <f>_xlfn.XLOOKUP(O116,产品信息表!$A$4:$A$15,产品信息表!$E$4:$E$15)</f>
        <v>95</v>
      </c>
      <c r="Z116" s="31">
        <f t="shared" si="14"/>
        <v>0.12683823529411756</v>
      </c>
      <c r="AA116">
        <f t="shared" si="15"/>
        <v>32</v>
      </c>
    </row>
    <row r="117" spans="1:27" ht="14.5">
      <c r="A117" s="2" t="s">
        <v>244</v>
      </c>
      <c r="B117" s="3">
        <v>46163</v>
      </c>
      <c r="C117" s="3" t="str">
        <f t="shared" si="8"/>
        <v>2026-05-21</v>
      </c>
      <c r="D117" s="2" t="s">
        <v>125</v>
      </c>
      <c r="E117" s="2" t="str">
        <f>VLOOKUP(D117,客户信息表!A$3:H$23,2,0)</f>
        <v>南京紫金山软件园运营</v>
      </c>
      <c r="F117" s="4" t="s">
        <v>126</v>
      </c>
      <c r="G117" s="4" t="str">
        <f>INDEX(客户信息表!$A$4:$H$23,MATCH(F117,客户信息表!$B$4:$B$23,0),1)</f>
        <v>KH008</v>
      </c>
      <c r="H117" s="4" t="str">
        <f>_xlfn.XLOOKUP(O117,产品信息表!$A$4:$A$15,产品信息表!$C$4:$C$15)</f>
        <v>软件服务</v>
      </c>
      <c r="I117" s="30">
        <f>DATE(MID(A117,4,4),MID(A117,8,2),MID(A117,10,2))</f>
        <v>46163</v>
      </c>
      <c r="J117" s="4" t="str">
        <f t="shared" si="9"/>
        <v>0112</v>
      </c>
      <c r="K117" s="4" t="str">
        <f>VLOOKUP(D117,客户信息表!$A$3:$H$23,5,0)</f>
        <v>C</v>
      </c>
      <c r="L117" s="2" t="s">
        <v>67</v>
      </c>
      <c r="M117" s="2" t="s">
        <v>19</v>
      </c>
      <c r="N117" s="2" t="str">
        <f t="shared" si="10"/>
        <v>华东</v>
      </c>
      <c r="O117" s="2" t="s">
        <v>12</v>
      </c>
      <c r="P117" s="4" t="s">
        <v>13</v>
      </c>
      <c r="Q117" s="5">
        <v>699</v>
      </c>
      <c r="R117" s="2">
        <v>12</v>
      </c>
      <c r="S117" s="2">
        <f t="shared" si="11"/>
        <v>12</v>
      </c>
      <c r="T117" s="2">
        <f>VLOOKUP(S117,折扣阶梯!$A$3:$C$7,2,TRUE)</f>
        <v>0.95</v>
      </c>
      <c r="U117" s="5">
        <v>8388</v>
      </c>
      <c r="V117" s="5">
        <f t="shared" si="12"/>
        <v>8388</v>
      </c>
      <c r="W117" s="2" t="s">
        <v>50</v>
      </c>
      <c r="X117">
        <f t="shared" si="13"/>
        <v>7968.5999999999995</v>
      </c>
      <c r="Y117">
        <f>_xlfn.XLOOKUP(O117,产品信息表!$A$4:$A$15,产品信息表!$E$4:$E$15)</f>
        <v>300</v>
      </c>
      <c r="Z117" s="31">
        <f t="shared" si="14"/>
        <v>0.54822679015134401</v>
      </c>
      <c r="AA117">
        <f t="shared" si="15"/>
        <v>48</v>
      </c>
    </row>
    <row r="118" spans="1:27" ht="14.5">
      <c r="A118" s="6" t="s">
        <v>245</v>
      </c>
      <c r="B118" s="7">
        <v>46164</v>
      </c>
      <c r="C118" s="3" t="str">
        <f t="shared" si="8"/>
        <v>2026-05-22</v>
      </c>
      <c r="D118" s="6" t="s">
        <v>35</v>
      </c>
      <c r="E118" s="2" t="str">
        <f>VLOOKUP(D118,客户信息表!A$3:H$23,2,0)</f>
        <v>北京中关新材</v>
      </c>
      <c r="F118" s="8" t="s">
        <v>36</v>
      </c>
      <c r="G118" s="4" t="str">
        <f>INDEX(客户信息表!$A$4:$H$23,MATCH(F118,客户信息表!$B$4:$B$23,0),1)</f>
        <v>KH019</v>
      </c>
      <c r="H118" s="4" t="str">
        <f>_xlfn.XLOOKUP(O118,产品信息表!$A$4:$A$15,产品信息表!$C$4:$C$15)</f>
        <v>电子数码</v>
      </c>
      <c r="I118" s="30">
        <f>DATE(MID(A118,4,4),MID(A118,8,2),MID(A118,10,2))</f>
        <v>46164</v>
      </c>
      <c r="J118" s="4" t="str">
        <f t="shared" si="9"/>
        <v>0113</v>
      </c>
      <c r="K118" s="4" t="str">
        <f>VLOOKUP(D118,客户信息表!$A$3:$H$23,5,0)</f>
        <v>B</v>
      </c>
      <c r="L118" s="6" t="s">
        <v>44</v>
      </c>
      <c r="M118" s="6" t="s">
        <v>38</v>
      </c>
      <c r="N118" s="2" t="str">
        <f t="shared" si="10"/>
        <v>华北</v>
      </c>
      <c r="O118" s="6" t="s">
        <v>91</v>
      </c>
      <c r="P118" s="8" t="s">
        <v>102</v>
      </c>
      <c r="Q118" s="9">
        <v>5699</v>
      </c>
      <c r="R118" s="6">
        <v>3</v>
      </c>
      <c r="S118" s="2">
        <f t="shared" si="11"/>
        <v>3</v>
      </c>
      <c r="T118" s="2">
        <f>VLOOKUP(S118,折扣阶梯!$A$3:$C$7,2,TRUE)</f>
        <v>1</v>
      </c>
      <c r="U118" s="9">
        <v>17097</v>
      </c>
      <c r="V118" s="5">
        <f t="shared" si="12"/>
        <v>17097</v>
      </c>
      <c r="W118" s="6" t="s">
        <v>22</v>
      </c>
      <c r="X118">
        <f t="shared" si="13"/>
        <v>17097</v>
      </c>
      <c r="Y118">
        <f>_xlfn.XLOOKUP(O118,产品信息表!$A$4:$A$15,产品信息表!$E$4:$E$15)</f>
        <v>4800</v>
      </c>
      <c r="Z118" s="31">
        <f t="shared" si="14"/>
        <v>0.15774697315318478</v>
      </c>
      <c r="AA118">
        <f t="shared" si="15"/>
        <v>28</v>
      </c>
    </row>
    <row r="119" spans="1:27" ht="14.5">
      <c r="A119" s="2" t="s">
        <v>246</v>
      </c>
      <c r="B119" s="3">
        <v>46165</v>
      </c>
      <c r="C119" s="3" t="str">
        <f t="shared" si="8"/>
        <v>2026-05-23</v>
      </c>
      <c r="D119" s="2" t="s">
        <v>107</v>
      </c>
      <c r="E119" s="2" t="str">
        <f>VLOOKUP(D119,客户信息表!A$3:H$23,2,0)</f>
        <v>天津海河传媒</v>
      </c>
      <c r="F119" s="4" t="s">
        <v>108</v>
      </c>
      <c r="G119" s="4" t="str">
        <f>INDEX(客户信息表!$A$4:$H$23,MATCH(F119,客户信息表!$B$4:$B$23,0),1)</f>
        <v>KH009</v>
      </c>
      <c r="H119" s="4" t="str">
        <f>_xlfn.XLOOKUP(O119,产品信息表!$A$4:$A$15,产品信息表!$C$4:$C$15)</f>
        <v>电子数码</v>
      </c>
      <c r="I119" s="30">
        <f>DATE(MID(A119,4,4),MID(A119,8,2),MID(A119,10,2))</f>
        <v>46165</v>
      </c>
      <c r="J119" s="4" t="str">
        <f t="shared" si="9"/>
        <v>0114</v>
      </c>
      <c r="K119" s="4" t="str">
        <f>VLOOKUP(D119,客户信息表!$A$3:$H$23,5,0)</f>
        <v>C</v>
      </c>
      <c r="L119" s="2" t="s">
        <v>24</v>
      </c>
      <c r="M119" s="2" t="s">
        <v>38</v>
      </c>
      <c r="N119" s="2" t="str">
        <f t="shared" si="10"/>
        <v>华北</v>
      </c>
      <c r="O119" s="2" t="s">
        <v>62</v>
      </c>
      <c r="P119" s="4" t="s">
        <v>63</v>
      </c>
      <c r="Q119" s="5">
        <v>1299</v>
      </c>
      <c r="R119" s="2">
        <v>4</v>
      </c>
      <c r="S119" s="2">
        <f t="shared" si="11"/>
        <v>4</v>
      </c>
      <c r="T119" s="2">
        <f>VLOOKUP(S119,折扣阶梯!$A$3:$C$7,2,TRUE)</f>
        <v>1</v>
      </c>
      <c r="U119" s="5">
        <v>5196</v>
      </c>
      <c r="V119" s="5">
        <f t="shared" si="12"/>
        <v>5196</v>
      </c>
      <c r="W119" s="2" t="s">
        <v>22</v>
      </c>
      <c r="X119">
        <f t="shared" si="13"/>
        <v>5196</v>
      </c>
      <c r="Y119">
        <f>_xlfn.XLOOKUP(O119,产品信息表!$A$4:$A$15,产品信息表!$E$4:$E$15)</f>
        <v>950</v>
      </c>
      <c r="Z119" s="31">
        <f t="shared" si="14"/>
        <v>0.26866820631254812</v>
      </c>
      <c r="AA119">
        <f t="shared" si="15"/>
        <v>61</v>
      </c>
    </row>
    <row r="120" spans="1:27" ht="14.5">
      <c r="A120" s="6" t="s">
        <v>247</v>
      </c>
      <c r="B120" s="7">
        <v>46165</v>
      </c>
      <c r="C120" s="3" t="str">
        <f t="shared" si="8"/>
        <v>2026-05-23</v>
      </c>
      <c r="D120" s="6" t="s">
        <v>125</v>
      </c>
      <c r="E120" s="2" t="str">
        <f>VLOOKUP(D120,客户信息表!A$3:H$23,2,0)</f>
        <v>南京紫金山软件园运营</v>
      </c>
      <c r="F120" s="8" t="s">
        <v>126</v>
      </c>
      <c r="G120" s="4" t="str">
        <f>INDEX(客户信息表!$A$4:$H$23,MATCH(F120,客户信息表!$B$4:$B$23,0),1)</f>
        <v>KH008</v>
      </c>
      <c r="H120" s="4" t="str">
        <f>_xlfn.XLOOKUP(O120,产品信息表!$A$4:$A$15,产品信息表!$C$4:$C$15)</f>
        <v>软件服务</v>
      </c>
      <c r="I120" s="30">
        <f>DATE(MID(A120,4,4),MID(A120,8,2),MID(A120,10,2))</f>
        <v>46165</v>
      </c>
      <c r="J120" s="4" t="str">
        <f t="shared" si="9"/>
        <v>0115</v>
      </c>
      <c r="K120" s="4" t="str">
        <f>VLOOKUP(D120,客户信息表!$A$3:$H$23,5,0)</f>
        <v>C</v>
      </c>
      <c r="L120" s="6" t="s">
        <v>11</v>
      </c>
      <c r="M120" s="6" t="s">
        <v>19</v>
      </c>
      <c r="N120" s="2" t="str">
        <f t="shared" si="10"/>
        <v>华东</v>
      </c>
      <c r="O120" s="6" t="s">
        <v>57</v>
      </c>
      <c r="P120" s="8" t="s">
        <v>123</v>
      </c>
      <c r="Q120" s="9">
        <v>599</v>
      </c>
      <c r="R120" s="6">
        <v>40</v>
      </c>
      <c r="S120" s="2">
        <f t="shared" si="11"/>
        <v>40</v>
      </c>
      <c r="T120" s="2">
        <f>VLOOKUP(S120,折扣阶梯!$A$3:$C$7,2,TRUE)</f>
        <v>0.95</v>
      </c>
      <c r="U120" s="9">
        <v>23960</v>
      </c>
      <c r="V120" s="5">
        <f t="shared" si="12"/>
        <v>23960</v>
      </c>
      <c r="W120" s="6" t="s">
        <v>50</v>
      </c>
      <c r="X120">
        <f t="shared" si="13"/>
        <v>22762</v>
      </c>
      <c r="Y120">
        <f>_xlfn.XLOOKUP(O120,产品信息表!$A$4:$A$15,产品信息表!$E$4:$E$15)</f>
        <v>250</v>
      </c>
      <c r="Z120" s="31">
        <f t="shared" si="14"/>
        <v>0.56067129426236706</v>
      </c>
      <c r="AA120">
        <f t="shared" si="15"/>
        <v>16</v>
      </c>
    </row>
    <row r="121" spans="1:27" ht="14.5">
      <c r="A121" s="2" t="s">
        <v>248</v>
      </c>
      <c r="B121" s="2" t="s">
        <v>249</v>
      </c>
      <c r="C121" s="3" t="str">
        <f t="shared" si="8"/>
        <v>2026-05-23</v>
      </c>
      <c r="D121" s="2" t="s">
        <v>152</v>
      </c>
      <c r="E121" s="2" t="str">
        <f>VLOOKUP(D121,客户信息表!A$3:H$23,2,0)</f>
        <v>厦门鹭岛文创</v>
      </c>
      <c r="F121" s="4" t="s">
        <v>153</v>
      </c>
      <c r="G121" s="4" t="str">
        <f>INDEX(客户信息表!$A$4:$H$23,MATCH(F121,客户信息表!$B$4:$B$23,0),1)</f>
        <v>KH018</v>
      </c>
      <c r="H121" s="4" t="str">
        <f>_xlfn.XLOOKUP(O121,产品信息表!$A$4:$A$15,产品信息表!$C$4:$C$15)</f>
        <v>办公耗材</v>
      </c>
      <c r="I121" s="30">
        <f>DATE(MID(A121,4,4),MID(A121,8,2),MID(A121,10,2))</f>
        <v>46165</v>
      </c>
      <c r="J121" s="4" t="str">
        <f t="shared" si="9"/>
        <v>0116</v>
      </c>
      <c r="K121" s="4" t="str">
        <f>VLOOKUP(D121,客户信息表!$A$3:$H$23,5,0)</f>
        <v>C</v>
      </c>
      <c r="L121" s="2" t="s">
        <v>18</v>
      </c>
      <c r="M121" s="2" t="s">
        <v>25</v>
      </c>
      <c r="N121" s="2" t="str">
        <f t="shared" si="10"/>
        <v>华南</v>
      </c>
      <c r="O121" s="2" t="s">
        <v>48</v>
      </c>
      <c r="P121" s="4" t="s">
        <v>49</v>
      </c>
      <c r="Q121" s="5">
        <v>45</v>
      </c>
      <c r="R121" s="2">
        <v>24</v>
      </c>
      <c r="S121" s="2">
        <f t="shared" si="11"/>
        <v>24</v>
      </c>
      <c r="T121" s="2">
        <f>VLOOKUP(S121,折扣阶梯!$A$3:$C$7,2,TRUE)</f>
        <v>0.95</v>
      </c>
      <c r="U121" s="5">
        <v>1080</v>
      </c>
      <c r="V121" s="5">
        <f t="shared" si="12"/>
        <v>1080</v>
      </c>
      <c r="W121" s="2" t="s">
        <v>50</v>
      </c>
      <c r="X121">
        <f t="shared" si="13"/>
        <v>1026</v>
      </c>
      <c r="Y121">
        <f>_xlfn.XLOOKUP(O121,产品信息表!$A$4:$A$15,产品信息表!$E$4:$E$15)</f>
        <v>28</v>
      </c>
      <c r="Z121" s="31">
        <f t="shared" si="14"/>
        <v>0.34502923976608185</v>
      </c>
      <c r="AA121">
        <f t="shared" si="15"/>
        <v>81</v>
      </c>
    </row>
    <row r="122" spans="1:27" ht="14.5">
      <c r="A122" s="6" t="s">
        <v>250</v>
      </c>
      <c r="B122" s="7">
        <v>46166</v>
      </c>
      <c r="C122" s="3" t="str">
        <f t="shared" si="8"/>
        <v>2026-05-24</v>
      </c>
      <c r="D122" s="6" t="s">
        <v>139</v>
      </c>
      <c r="E122" s="2" t="str">
        <f>VLOOKUP(D122,客户信息表!A$3:H$23,2,0)</f>
        <v>石家庄振华商贸</v>
      </c>
      <c r="F122" s="8" t="s">
        <v>140</v>
      </c>
      <c r="G122" s="4" t="str">
        <f>INDEX(客户信息表!$A$4:$H$23,MATCH(F122,客户信息表!$B$4:$B$23,0),1)</f>
        <v>KH013</v>
      </c>
      <c r="H122" s="4" t="str">
        <f>_xlfn.XLOOKUP(O122,产品信息表!$A$4:$A$15,产品信息表!$C$4:$C$15)</f>
        <v>办公耗材</v>
      </c>
      <c r="I122" s="30">
        <f>DATE(MID(A122,4,4),MID(A122,8,2),MID(A122,10,2))</f>
        <v>46166</v>
      </c>
      <c r="J122" s="4" t="str">
        <f t="shared" si="9"/>
        <v>0117</v>
      </c>
      <c r="K122" s="4" t="str">
        <f>VLOOKUP(D122,客户信息表!$A$3:$H$23,5,0)</f>
        <v>C</v>
      </c>
      <c r="L122" s="6" t="s">
        <v>37</v>
      </c>
      <c r="M122" s="6" t="s">
        <v>38</v>
      </c>
      <c r="N122" s="2" t="str">
        <f t="shared" si="10"/>
        <v>华北</v>
      </c>
      <c r="O122" s="6" t="s">
        <v>73</v>
      </c>
      <c r="P122" s="8" t="s">
        <v>74</v>
      </c>
      <c r="Q122" s="9">
        <v>385</v>
      </c>
      <c r="R122" s="6">
        <v>24</v>
      </c>
      <c r="S122" s="2">
        <f t="shared" si="11"/>
        <v>24</v>
      </c>
      <c r="T122" s="2">
        <f>VLOOKUP(S122,折扣阶梯!$A$3:$C$7,2,TRUE)</f>
        <v>0.95</v>
      </c>
      <c r="U122" s="11" t="s">
        <v>251</v>
      </c>
      <c r="V122" s="5">
        <f t="shared" si="12"/>
        <v>9240</v>
      </c>
      <c r="W122" s="6" t="s">
        <v>50</v>
      </c>
      <c r="X122">
        <f t="shared" si="13"/>
        <v>8778</v>
      </c>
      <c r="Y122">
        <f>_xlfn.XLOOKUP(O122,产品信息表!$A$4:$A$15,产品信息表!$E$4:$E$15)</f>
        <v>260</v>
      </c>
      <c r="Z122" s="31">
        <f t="shared" si="14"/>
        <v>0.28913192071086807</v>
      </c>
      <c r="AA122">
        <f t="shared" si="15"/>
        <v>42</v>
      </c>
    </row>
    <row r="123" spans="1:27" ht="14.5">
      <c r="A123" s="2" t="s">
        <v>252</v>
      </c>
      <c r="B123" s="3">
        <v>46167</v>
      </c>
      <c r="C123" s="3" t="str">
        <f t="shared" si="8"/>
        <v>2026-05-25</v>
      </c>
      <c r="D123" s="2" t="s">
        <v>125</v>
      </c>
      <c r="E123" s="2" t="str">
        <f>VLOOKUP(D123,客户信息表!A$3:H$23,2,0)</f>
        <v>南京紫金山软件园运营</v>
      </c>
      <c r="F123" s="4" t="s">
        <v>126</v>
      </c>
      <c r="G123" s="4" t="str">
        <f>INDEX(客户信息表!$A$4:$H$23,MATCH(F123,客户信息表!$B$4:$B$23,0),1)</f>
        <v>KH008</v>
      </c>
      <c r="H123" s="4" t="str">
        <f>_xlfn.XLOOKUP(O123,产品信息表!$A$4:$A$15,产品信息表!$C$4:$C$15)</f>
        <v>软件服务</v>
      </c>
      <c r="I123" s="30">
        <f>DATE(MID(A123,4,4),MID(A123,8,2),MID(A123,10,2))</f>
        <v>46167</v>
      </c>
      <c r="J123" s="4" t="str">
        <f t="shared" si="9"/>
        <v>0118</v>
      </c>
      <c r="K123" s="4" t="str">
        <f>VLOOKUP(D123,客户信息表!$A$3:$H$23,5,0)</f>
        <v>C</v>
      </c>
      <c r="L123" s="2" t="s">
        <v>78</v>
      </c>
      <c r="M123" s="2" t="s">
        <v>19</v>
      </c>
      <c r="N123" s="2" t="str">
        <f t="shared" si="10"/>
        <v>华东</v>
      </c>
      <c r="O123" s="2" t="s">
        <v>12</v>
      </c>
      <c r="P123" s="4" t="s">
        <v>13</v>
      </c>
      <c r="Q123" s="5">
        <v>699</v>
      </c>
      <c r="R123" s="2">
        <v>29</v>
      </c>
      <c r="S123" s="2">
        <f t="shared" si="11"/>
        <v>29</v>
      </c>
      <c r="T123" s="2">
        <f>VLOOKUP(S123,折扣阶梯!$A$3:$C$7,2,TRUE)</f>
        <v>0.95</v>
      </c>
      <c r="U123" s="5">
        <v>20271</v>
      </c>
      <c r="V123" s="5">
        <f t="shared" si="12"/>
        <v>20271</v>
      </c>
      <c r="W123" s="2" t="s">
        <v>50</v>
      </c>
      <c r="X123">
        <f t="shared" si="13"/>
        <v>19257.45</v>
      </c>
      <c r="Y123">
        <f>_xlfn.XLOOKUP(O123,产品信息表!$A$4:$A$15,产品信息表!$E$4:$E$15)</f>
        <v>300</v>
      </c>
      <c r="Z123" s="31">
        <f t="shared" si="14"/>
        <v>0.54822679015134401</v>
      </c>
      <c r="AA123">
        <f t="shared" si="15"/>
        <v>19</v>
      </c>
    </row>
    <row r="124" spans="1:27" ht="14.5">
      <c r="A124" s="6" t="s">
        <v>253</v>
      </c>
      <c r="B124" s="6" t="s">
        <v>254</v>
      </c>
      <c r="C124" s="3" t="str">
        <f t="shared" si="8"/>
        <v>2026-05-27</v>
      </c>
      <c r="D124" s="6" t="s">
        <v>9</v>
      </c>
      <c r="E124" s="2" t="str">
        <f>VLOOKUP(D124,客户信息表!A$3:H$23,2,0)</f>
        <v>广州启航教育</v>
      </c>
      <c r="F124" s="8" t="s">
        <v>10</v>
      </c>
      <c r="G124" s="4" t="str">
        <f>INDEX(客户信息表!$A$4:$H$23,MATCH(F124,客户信息表!$B$4:$B$23,0),1)</f>
        <v>KH003</v>
      </c>
      <c r="H124" s="4" t="str">
        <f>_xlfn.XLOOKUP(O124,产品信息表!$A$4:$A$15,产品信息表!$C$4:$C$15)</f>
        <v>软件服务</v>
      </c>
      <c r="I124" s="30">
        <f>DATE(MID(A124,4,4),MID(A124,8,2),MID(A124,10,2))</f>
        <v>46169</v>
      </c>
      <c r="J124" s="4" t="str">
        <f t="shared" si="9"/>
        <v>0119</v>
      </c>
      <c r="K124" s="4" t="str">
        <f>VLOOKUP(D124,客户信息表!$A$3:$H$23,5,0)</f>
        <v>A</v>
      </c>
      <c r="L124" s="6" t="s">
        <v>24</v>
      </c>
      <c r="M124" s="6" t="s">
        <v>25</v>
      </c>
      <c r="N124" s="2" t="str">
        <f t="shared" si="10"/>
        <v>华南</v>
      </c>
      <c r="O124" s="6" t="s">
        <v>12</v>
      </c>
      <c r="P124" s="8" t="s">
        <v>13</v>
      </c>
      <c r="Q124" s="9">
        <v>699</v>
      </c>
      <c r="R124" s="6">
        <v>19</v>
      </c>
      <c r="S124" s="2">
        <f t="shared" si="11"/>
        <v>19</v>
      </c>
      <c r="T124" s="2">
        <f>VLOOKUP(S124,折扣阶梯!$A$3:$C$7,2,TRUE)</f>
        <v>0.95</v>
      </c>
      <c r="U124" s="9">
        <v>13281</v>
      </c>
      <c r="V124" s="5">
        <f t="shared" si="12"/>
        <v>13281</v>
      </c>
      <c r="W124" s="6" t="s">
        <v>22</v>
      </c>
      <c r="X124">
        <f t="shared" si="13"/>
        <v>12616.949999999999</v>
      </c>
      <c r="Y124">
        <f>_xlfn.XLOOKUP(O124,产品信息表!$A$4:$A$15,产品信息表!$E$4:$E$15)</f>
        <v>300</v>
      </c>
      <c r="Z124" s="31">
        <f t="shared" si="14"/>
        <v>0.54822679015134401</v>
      </c>
      <c r="AA124">
        <f t="shared" si="15"/>
        <v>32</v>
      </c>
    </row>
    <row r="125" spans="1:27" ht="14.5">
      <c r="A125" s="2" t="s">
        <v>255</v>
      </c>
      <c r="B125" s="3">
        <v>46170</v>
      </c>
      <c r="C125" s="3" t="str">
        <f t="shared" si="8"/>
        <v>2026-05-28</v>
      </c>
      <c r="D125" s="2" t="s">
        <v>52</v>
      </c>
      <c r="E125" s="2" t="str">
        <f>VLOOKUP(D125,客户信息表!A$3:H$23,2,0)</f>
        <v>武汉长江实业</v>
      </c>
      <c r="F125" s="4" t="s">
        <v>53</v>
      </c>
      <c r="G125" s="4" t="str">
        <f>INDEX(客户信息表!$A$4:$H$23,MATCH(F125,客户信息表!$B$4:$B$23,0),1)</f>
        <v>KH007</v>
      </c>
      <c r="H125" s="4" t="str">
        <f>_xlfn.XLOOKUP(O125,产品信息表!$A$4:$A$15,产品信息表!$C$4:$C$15)</f>
        <v>办公耗材</v>
      </c>
      <c r="I125" s="30">
        <f>DATE(MID(A125,4,4),MID(A125,8,2),MID(A125,10,2))</f>
        <v>46170</v>
      </c>
      <c r="J125" s="4" t="str">
        <f t="shared" si="9"/>
        <v>0120</v>
      </c>
      <c r="K125" s="4" t="str">
        <f>VLOOKUP(D125,客户信息表!$A$3:$H$23,5,0)</f>
        <v>B</v>
      </c>
      <c r="L125" s="2" t="s">
        <v>24</v>
      </c>
      <c r="M125" s="2" t="s">
        <v>256</v>
      </c>
      <c r="N125" s="2" t="str">
        <f t="shared" si="10"/>
        <v>华中</v>
      </c>
      <c r="O125" s="2" t="s">
        <v>39</v>
      </c>
      <c r="P125" s="4" t="s">
        <v>40</v>
      </c>
      <c r="Q125" s="5">
        <v>128</v>
      </c>
      <c r="R125" s="2" t="s">
        <v>257</v>
      </c>
      <c r="S125" s="2">
        <f t="shared" si="11"/>
        <v>68</v>
      </c>
      <c r="T125" s="2">
        <f>VLOOKUP(S125,折扣阶梯!$A$3:$C$7,2,TRUE)</f>
        <v>0.9</v>
      </c>
      <c r="U125" s="5">
        <v>8704</v>
      </c>
      <c r="V125" s="5">
        <f t="shared" si="12"/>
        <v>8704</v>
      </c>
      <c r="W125" s="2" t="s">
        <v>89</v>
      </c>
      <c r="X125">
        <f t="shared" si="13"/>
        <v>7833.6</v>
      </c>
      <c r="Y125">
        <f>_xlfn.XLOOKUP(O125,产品信息表!$A$4:$A$15,产品信息表!$E$4:$E$15)</f>
        <v>95</v>
      </c>
      <c r="Z125" s="31">
        <f t="shared" si="14"/>
        <v>0.17534722222222227</v>
      </c>
      <c r="AA125">
        <f t="shared" si="15"/>
        <v>40</v>
      </c>
    </row>
    <row r="126" spans="1:27" ht="14.5">
      <c r="A126" s="6" t="s">
        <v>258</v>
      </c>
      <c r="B126" s="7">
        <v>46170</v>
      </c>
      <c r="C126" s="3" t="str">
        <f t="shared" si="8"/>
        <v>2026-05-28</v>
      </c>
      <c r="D126" s="6" t="s">
        <v>98</v>
      </c>
      <c r="E126" s="2" t="str">
        <f>VLOOKUP(D126,客户信息表!A$3:H$23,2,0)</f>
        <v>苏州创智科技</v>
      </c>
      <c r="F126" s="8" t="s">
        <v>99</v>
      </c>
      <c r="G126" s="4" t="str">
        <f>INDEX(客户信息表!$A$4:$H$23,MATCH(F126,客户信息表!$B$4:$B$23,0),1)</f>
        <v>KH010</v>
      </c>
      <c r="H126" s="4" t="str">
        <f>_xlfn.XLOOKUP(O126,产品信息表!$A$4:$A$15,产品信息表!$C$4:$C$15)</f>
        <v>办公设备</v>
      </c>
      <c r="I126" s="30">
        <f>DATE(MID(A126,4,4),MID(A126,8,2),MID(A126,10,2))</f>
        <v>46170</v>
      </c>
      <c r="J126" s="4" t="str">
        <f t="shared" si="9"/>
        <v>0121</v>
      </c>
      <c r="K126" s="4" t="str">
        <f>VLOOKUP(D126,客户信息表!$A$3:$H$23,5,0)</f>
        <v>A</v>
      </c>
      <c r="L126" s="6" t="s">
        <v>67</v>
      </c>
      <c r="M126" s="6" t="s">
        <v>19</v>
      </c>
      <c r="N126" s="2" t="str">
        <f t="shared" si="10"/>
        <v>华东</v>
      </c>
      <c r="O126" s="6" t="s">
        <v>26</v>
      </c>
      <c r="P126" s="8" t="s">
        <v>27</v>
      </c>
      <c r="Q126" s="9">
        <v>899</v>
      </c>
      <c r="R126" s="6">
        <v>3</v>
      </c>
      <c r="S126" s="2">
        <f t="shared" si="11"/>
        <v>3</v>
      </c>
      <c r="T126" s="2">
        <f>VLOOKUP(S126,折扣阶梯!$A$3:$C$7,2,TRUE)</f>
        <v>1</v>
      </c>
      <c r="U126" s="9">
        <v>2697</v>
      </c>
      <c r="V126" s="5">
        <f t="shared" si="12"/>
        <v>2697</v>
      </c>
      <c r="W126" s="6" t="s">
        <v>14</v>
      </c>
      <c r="X126">
        <f t="shared" si="13"/>
        <v>2697</v>
      </c>
      <c r="Y126">
        <f>_xlfn.XLOOKUP(O126,产品信息表!$A$4:$A$15,产品信息表!$E$4:$E$15)</f>
        <v>620</v>
      </c>
      <c r="Z126" s="31">
        <f t="shared" si="14"/>
        <v>0.31034482758620691</v>
      </c>
      <c r="AA126">
        <f t="shared" si="15"/>
        <v>69</v>
      </c>
    </row>
    <row r="127" spans="1:27" ht="14.5">
      <c r="A127" s="2" t="s">
        <v>259</v>
      </c>
      <c r="B127" s="3">
        <v>46172</v>
      </c>
      <c r="C127" s="3" t="str">
        <f t="shared" si="8"/>
        <v>2026-05-30</v>
      </c>
      <c r="D127" s="2" t="s">
        <v>107</v>
      </c>
      <c r="E127" s="2" t="str">
        <f>VLOOKUP(D127,客户信息表!A$3:H$23,2,0)</f>
        <v>天津海河传媒</v>
      </c>
      <c r="F127" s="4" t="s">
        <v>108</v>
      </c>
      <c r="G127" s="4" t="str">
        <f>INDEX(客户信息表!$A$4:$H$23,MATCH(F127,客户信息表!$B$4:$B$23,0),1)</f>
        <v>KH009</v>
      </c>
      <c r="H127" s="4" t="str">
        <f>_xlfn.XLOOKUP(O127,产品信息表!$A$4:$A$15,产品信息表!$C$4:$C$15)</f>
        <v>办公耗材</v>
      </c>
      <c r="I127" s="30">
        <f>DATE(MID(A127,4,4),MID(A127,8,2),MID(A127,10,2))</f>
        <v>46172</v>
      </c>
      <c r="J127" s="4" t="str">
        <f t="shared" si="9"/>
        <v>0122</v>
      </c>
      <c r="K127" s="4" t="str">
        <f>VLOOKUP(D127,客户信息表!$A$3:$H$23,5,0)</f>
        <v>C</v>
      </c>
      <c r="L127" s="2" t="s">
        <v>78</v>
      </c>
      <c r="M127" s="2" t="s">
        <v>174</v>
      </c>
      <c r="N127" s="2" t="str">
        <f t="shared" si="10"/>
        <v>华北</v>
      </c>
      <c r="O127" s="2" t="s">
        <v>73</v>
      </c>
      <c r="P127" s="4" t="s">
        <v>74</v>
      </c>
      <c r="Q127" s="5">
        <v>385</v>
      </c>
      <c r="R127" s="2">
        <v>85</v>
      </c>
      <c r="S127" s="2">
        <f t="shared" si="11"/>
        <v>85</v>
      </c>
      <c r="T127" s="2">
        <f>VLOOKUP(S127,折扣阶梯!$A$3:$C$7,2,TRUE)</f>
        <v>0.9</v>
      </c>
      <c r="U127" s="5">
        <v>32725</v>
      </c>
      <c r="V127" s="5">
        <f t="shared" si="12"/>
        <v>32725</v>
      </c>
      <c r="W127" s="2" t="s">
        <v>14</v>
      </c>
      <c r="X127">
        <f t="shared" si="13"/>
        <v>29452.5</v>
      </c>
      <c r="Y127">
        <f>_xlfn.XLOOKUP(O127,产品信息表!$A$4:$A$15,产品信息表!$E$4:$E$15)</f>
        <v>260</v>
      </c>
      <c r="Z127" s="31">
        <f t="shared" si="14"/>
        <v>0.24963924963924963</v>
      </c>
      <c r="AA127">
        <f t="shared" si="15"/>
        <v>9</v>
      </c>
    </row>
    <row r="128" spans="1:27" ht="14.5">
      <c r="A128" s="6" t="s">
        <v>260</v>
      </c>
      <c r="B128" s="7">
        <v>46229</v>
      </c>
      <c r="C128" s="3" t="str">
        <f t="shared" si="8"/>
        <v>2026-07-26</v>
      </c>
      <c r="D128" s="6" t="s">
        <v>125</v>
      </c>
      <c r="E128" s="2" t="str">
        <f>VLOOKUP(D128,客户信息表!A$3:H$23,2,0)</f>
        <v>南京紫金山软件园运营</v>
      </c>
      <c r="F128" s="8" t="s">
        <v>126</v>
      </c>
      <c r="G128" s="4" t="str">
        <f>INDEX(客户信息表!$A$4:$H$23,MATCH(F128,客户信息表!$B$4:$B$23,0),1)</f>
        <v>KH008</v>
      </c>
      <c r="H128" s="4" t="str">
        <f>_xlfn.XLOOKUP(O128,产品信息表!$A$4:$A$15,产品信息表!$C$4:$C$15)</f>
        <v>办公耗材</v>
      </c>
      <c r="I128" s="30">
        <f>DATE(MID(A128,4,4),MID(A128,8,2),MID(A128,10,2))</f>
        <v>46229</v>
      </c>
      <c r="J128" s="4" t="str">
        <f t="shared" si="9"/>
        <v>0172</v>
      </c>
      <c r="K128" s="4" t="str">
        <f>VLOOKUP(D128,客户信息表!$A$3:$H$23,5,0)</f>
        <v>C</v>
      </c>
      <c r="L128" s="6" t="s">
        <v>44</v>
      </c>
      <c r="M128" s="6" t="s">
        <v>19</v>
      </c>
      <c r="N128" s="2" t="str">
        <f t="shared" si="10"/>
        <v>华东</v>
      </c>
      <c r="O128" s="6" t="s">
        <v>39</v>
      </c>
      <c r="P128" s="8" t="s">
        <v>40</v>
      </c>
      <c r="Q128" s="9">
        <v>128</v>
      </c>
      <c r="R128" s="6">
        <v>66</v>
      </c>
      <c r="S128" s="2">
        <f t="shared" si="11"/>
        <v>66</v>
      </c>
      <c r="T128" s="2">
        <f>VLOOKUP(S128,折扣阶梯!$A$3:$C$7,2,TRUE)</f>
        <v>0.9</v>
      </c>
      <c r="U128" s="9">
        <v>8448</v>
      </c>
      <c r="V128" s="5">
        <f t="shared" si="12"/>
        <v>8448</v>
      </c>
      <c r="W128" s="6" t="s">
        <v>22</v>
      </c>
      <c r="X128">
        <f t="shared" si="13"/>
        <v>7603.2</v>
      </c>
      <c r="Y128">
        <f>_xlfn.XLOOKUP(O128,产品信息表!$A$4:$A$15,产品信息表!$E$4:$E$15)</f>
        <v>95</v>
      </c>
      <c r="Z128" s="31">
        <f t="shared" si="14"/>
        <v>0.17534722222222221</v>
      </c>
      <c r="AA128">
        <f t="shared" si="15"/>
        <v>40</v>
      </c>
    </row>
    <row r="129" spans="1:27" ht="14.5">
      <c r="A129" s="2" t="s">
        <v>261</v>
      </c>
      <c r="B129" s="3">
        <v>46173</v>
      </c>
      <c r="C129" s="3" t="str">
        <f t="shared" si="8"/>
        <v>2026-05-31</v>
      </c>
      <c r="D129" s="2" t="s">
        <v>139</v>
      </c>
      <c r="E129" s="2" t="str">
        <f>VLOOKUP(D129,客户信息表!A$3:H$23,2,0)</f>
        <v>石家庄振华商贸</v>
      </c>
      <c r="F129" s="4" t="s">
        <v>140</v>
      </c>
      <c r="G129" s="4" t="str">
        <f>INDEX(客户信息表!$A$4:$H$23,MATCH(F129,客户信息表!$B$4:$B$23,0),1)</f>
        <v>KH013</v>
      </c>
      <c r="H129" s="4" t="str">
        <f>_xlfn.XLOOKUP(O129,产品信息表!$A$4:$A$15,产品信息表!$C$4:$C$15)</f>
        <v>电子数码</v>
      </c>
      <c r="I129" s="30">
        <f>DATE(MID(A129,4,4),MID(A129,8,2),MID(A129,10,2))</f>
        <v>46173</v>
      </c>
      <c r="J129" s="4" t="str">
        <f t="shared" si="9"/>
        <v>0123</v>
      </c>
      <c r="K129" s="4" t="str">
        <f>VLOOKUP(D129,客户信息表!$A$3:$H$23,5,0)</f>
        <v>C</v>
      </c>
      <c r="L129" s="2" t="s">
        <v>18</v>
      </c>
      <c r="M129" s="2" t="s">
        <v>109</v>
      </c>
      <c r="N129" s="2" t="str">
        <f t="shared" si="10"/>
        <v>华北</v>
      </c>
      <c r="O129" s="2" t="s">
        <v>62</v>
      </c>
      <c r="P129" s="4" t="s">
        <v>63</v>
      </c>
      <c r="Q129" s="5">
        <v>1299</v>
      </c>
      <c r="R129" s="2" t="s">
        <v>121</v>
      </c>
      <c r="S129" s="2">
        <f t="shared" si="11"/>
        <v>5</v>
      </c>
      <c r="T129" s="2">
        <f>VLOOKUP(S129,折扣阶梯!$A$3:$C$7,2,TRUE)</f>
        <v>1</v>
      </c>
      <c r="U129" s="5">
        <v>6495</v>
      </c>
      <c r="V129" s="5">
        <f t="shared" si="12"/>
        <v>6495</v>
      </c>
      <c r="W129" s="2" t="s">
        <v>50</v>
      </c>
      <c r="X129">
        <f t="shared" si="13"/>
        <v>6495</v>
      </c>
      <c r="Y129">
        <f>_xlfn.XLOOKUP(O129,产品信息表!$A$4:$A$15,产品信息表!$E$4:$E$15)</f>
        <v>950</v>
      </c>
      <c r="Z129" s="31">
        <f t="shared" si="14"/>
        <v>0.26866820631254812</v>
      </c>
      <c r="AA129">
        <f t="shared" si="15"/>
        <v>46</v>
      </c>
    </row>
    <row r="130" spans="1:27" ht="14.5">
      <c r="A130" s="6" t="s">
        <v>262</v>
      </c>
      <c r="B130" s="7">
        <v>46175</v>
      </c>
      <c r="C130" s="3" t="str">
        <f t="shared" si="8"/>
        <v>2026-06-02</v>
      </c>
      <c r="D130" s="6" t="s">
        <v>71</v>
      </c>
      <c r="E130" s="2" t="str">
        <f>VLOOKUP(D130,客户信息表!A$3:H$23,2,0)</f>
        <v>成都天府商贸</v>
      </c>
      <c r="F130" s="8" t="s">
        <v>72</v>
      </c>
      <c r="G130" s="4" t="str">
        <f>INDEX(客户信息表!$A$4:$H$23,MATCH(F130,客户信息表!$B$4:$B$23,0),1)</f>
        <v>KH006</v>
      </c>
      <c r="H130" s="4" t="str">
        <f>_xlfn.XLOOKUP(O130,产品信息表!$A$4:$A$15,产品信息表!$C$4:$C$15)</f>
        <v>软件服务</v>
      </c>
      <c r="I130" s="30">
        <f>DATE(MID(A130,4,4),MID(A130,8,2),MID(A130,10,2))</f>
        <v>46175</v>
      </c>
      <c r="J130" s="4" t="str">
        <f t="shared" si="9"/>
        <v>0124</v>
      </c>
      <c r="K130" s="4" t="str">
        <f>VLOOKUP(D130,客户信息表!$A$3:$H$23,5,0)</f>
        <v>C</v>
      </c>
      <c r="L130" s="6" t="s">
        <v>18</v>
      </c>
      <c r="M130" s="6" t="s">
        <v>68</v>
      </c>
      <c r="N130" s="2" t="str">
        <f t="shared" si="10"/>
        <v>西南</v>
      </c>
      <c r="O130" s="6" t="s">
        <v>12</v>
      </c>
      <c r="P130" s="8" t="s">
        <v>13</v>
      </c>
      <c r="Q130" s="9">
        <v>699</v>
      </c>
      <c r="R130" s="6">
        <v>35</v>
      </c>
      <c r="S130" s="2">
        <f t="shared" si="11"/>
        <v>35</v>
      </c>
      <c r="T130" s="2">
        <f>VLOOKUP(S130,折扣阶梯!$A$3:$C$7,2,TRUE)</f>
        <v>0.95</v>
      </c>
      <c r="U130" s="9">
        <v>24465</v>
      </c>
      <c r="V130" s="5">
        <f t="shared" si="12"/>
        <v>24465</v>
      </c>
      <c r="W130" s="6" t="s">
        <v>89</v>
      </c>
      <c r="X130">
        <f t="shared" si="13"/>
        <v>23241.75</v>
      </c>
      <c r="Y130">
        <f>_xlfn.XLOOKUP(O130,产品信息表!$A$4:$A$15,产品信息表!$E$4:$E$15)</f>
        <v>300</v>
      </c>
      <c r="Z130" s="31">
        <f t="shared" si="14"/>
        <v>0.54822679015134401</v>
      </c>
      <c r="AA130">
        <f t="shared" si="15"/>
        <v>14</v>
      </c>
    </row>
    <row r="131" spans="1:27" ht="14.5">
      <c r="A131" s="2" t="s">
        <v>263</v>
      </c>
      <c r="B131" s="3">
        <v>46176</v>
      </c>
      <c r="C131" s="3" t="str">
        <f t="shared" ref="C131:C194" si="16">TEXT(SUBSTITUTE(B131,".","/"),"yyyy-mm-dd")</f>
        <v>2026-06-03</v>
      </c>
      <c r="D131" s="2" t="s">
        <v>60</v>
      </c>
      <c r="E131" s="2" t="str">
        <f>VLOOKUP(D131,客户信息表!A$3:H$23,2,0)</f>
        <v>杭州云图信息</v>
      </c>
      <c r="F131" s="4" t="s">
        <v>61</v>
      </c>
      <c r="G131" s="4" t="str">
        <f>INDEX(客户信息表!$A$4:$H$23,MATCH(F131,客户信息表!$B$4:$B$23,0),1)</f>
        <v>KH005</v>
      </c>
      <c r="H131" s="4" t="str">
        <f>_xlfn.XLOOKUP(O131,产品信息表!$A$4:$A$15,产品信息表!$C$4:$C$15)</f>
        <v>办公设备</v>
      </c>
      <c r="I131" s="30">
        <f>DATE(MID(A131,4,4),MID(A131,8,2),MID(A131,10,2))</f>
        <v>46176</v>
      </c>
      <c r="J131" s="4" t="str">
        <f t="shared" ref="J131:J194" si="17">RIGHT(A131,4)</f>
        <v>0125</v>
      </c>
      <c r="K131" s="4" t="str">
        <f>VLOOKUP(D131,客户信息表!$A$3:$H$23,5,0)</f>
        <v>A</v>
      </c>
      <c r="L131" s="2" t="s">
        <v>18</v>
      </c>
      <c r="M131" s="2" t="s">
        <v>19</v>
      </c>
      <c r="N131" s="2" t="str">
        <f t="shared" ref="N131:N194" si="18">SUBSTITUTE(TRIM(M131),"区","")</f>
        <v>华东</v>
      </c>
      <c r="O131" s="2" t="s">
        <v>176</v>
      </c>
      <c r="P131" s="4" t="s">
        <v>264</v>
      </c>
      <c r="Q131" s="5">
        <v>3599</v>
      </c>
      <c r="R131" s="2">
        <v>1</v>
      </c>
      <c r="S131" s="2">
        <f t="shared" ref="S131:S194" si="19">IF(ISBLANK(R131),U131/Q131,VALUE(R131))</f>
        <v>1</v>
      </c>
      <c r="T131" s="2">
        <f>VLOOKUP(S131,折扣阶梯!$A$3:$C$7,2,TRUE)</f>
        <v>1</v>
      </c>
      <c r="U131" s="5">
        <v>3599</v>
      </c>
      <c r="V131" s="5">
        <f t="shared" ref="V131:V194" si="20">IF(Q131*S131=VALUE(SUBSTITUTE(U131,"¥","")),VALUE(SUBSTITUTE(U131,"¥","")),Q131*S131)</f>
        <v>3599</v>
      </c>
      <c r="W131" s="2" t="s">
        <v>50</v>
      </c>
      <c r="X131">
        <f t="shared" ref="X131:X194" si="21">V131*T131</f>
        <v>3599</v>
      </c>
      <c r="Y131">
        <f>_xlfn.XLOOKUP(O131,产品信息表!$A$4:$A$15,产品信息表!$E$4:$E$15)</f>
        <v>2700</v>
      </c>
      <c r="Z131" s="31">
        <f t="shared" ref="Z131:Z194" si="22">(X131-Y131*S131)/X131</f>
        <v>0.24979160878021672</v>
      </c>
      <c r="AA131">
        <f t="shared" ref="AA131:AA194" si="23">_xlfn.RANK.EQ(V131,V131:V332,0)</f>
        <v>57</v>
      </c>
    </row>
    <row r="132" spans="1:27" ht="14.5">
      <c r="A132" s="6" t="s">
        <v>232</v>
      </c>
      <c r="B132" s="7">
        <v>46176</v>
      </c>
      <c r="C132" s="3" t="str">
        <f t="shared" si="16"/>
        <v>2026-06-03</v>
      </c>
      <c r="D132" s="6" t="s">
        <v>107</v>
      </c>
      <c r="E132" s="2" t="str">
        <f>VLOOKUP(D132,客户信息表!A$3:H$23,2,0)</f>
        <v>天津海河传媒</v>
      </c>
      <c r="F132" s="8" t="s">
        <v>108</v>
      </c>
      <c r="G132" s="4" t="str">
        <f>INDEX(客户信息表!$A$4:$H$23,MATCH(F132,客户信息表!$B$4:$B$23,0),1)</f>
        <v>KH009</v>
      </c>
      <c r="H132" s="4" t="str">
        <f>_xlfn.XLOOKUP(O132,产品信息表!$A$4:$A$15,产品信息表!$C$4:$C$15)</f>
        <v>办公设备</v>
      </c>
      <c r="I132" s="30">
        <f>DATE(MID(A132,4,4),MID(A132,8,2),MID(A132,10,2))</f>
        <v>46176</v>
      </c>
      <c r="J132" s="4" t="str">
        <f t="shared" si="17"/>
        <v>0126</v>
      </c>
      <c r="K132" s="4" t="str">
        <f>VLOOKUP(D132,客户信息表!$A$3:$H$23,5,0)</f>
        <v>C</v>
      </c>
      <c r="L132" s="6" t="s">
        <v>11</v>
      </c>
      <c r="M132" s="6" t="s">
        <v>38</v>
      </c>
      <c r="N132" s="2" t="str">
        <f t="shared" si="18"/>
        <v>华北</v>
      </c>
      <c r="O132" s="6" t="s">
        <v>176</v>
      </c>
      <c r="P132" s="8" t="s">
        <v>177</v>
      </c>
      <c r="Q132" s="9">
        <v>3599</v>
      </c>
      <c r="R132" s="6">
        <v>8</v>
      </c>
      <c r="S132" s="2">
        <f t="shared" si="19"/>
        <v>8</v>
      </c>
      <c r="T132" s="2">
        <f>VLOOKUP(S132,折扣阶梯!$A$3:$C$7,2,TRUE)</f>
        <v>1</v>
      </c>
      <c r="U132" s="9">
        <v>28792</v>
      </c>
      <c r="V132" s="5">
        <f t="shared" si="20"/>
        <v>28792</v>
      </c>
      <c r="W132" s="6" t="s">
        <v>50</v>
      </c>
      <c r="X132">
        <f t="shared" si="21"/>
        <v>28792</v>
      </c>
      <c r="Y132">
        <f>_xlfn.XLOOKUP(O132,产品信息表!$A$4:$A$15,产品信息表!$E$4:$E$15)</f>
        <v>2700</v>
      </c>
      <c r="Z132" s="31">
        <f t="shared" si="22"/>
        <v>0.24979160878021672</v>
      </c>
      <c r="AA132">
        <f t="shared" si="23"/>
        <v>9</v>
      </c>
    </row>
    <row r="133" spans="1:27" ht="14.5">
      <c r="A133" s="2" t="s">
        <v>265</v>
      </c>
      <c r="B133" s="3">
        <v>46180</v>
      </c>
      <c r="C133" s="3" t="str">
        <f t="shared" si="16"/>
        <v>2026-06-07</v>
      </c>
      <c r="D133" s="2" t="s">
        <v>9</v>
      </c>
      <c r="E133" s="2" t="str">
        <f>VLOOKUP(D133,客户信息表!A$3:H$23,2,0)</f>
        <v>广州启航教育</v>
      </c>
      <c r="F133" s="4" t="s">
        <v>10</v>
      </c>
      <c r="G133" s="4" t="str">
        <f>INDEX(客户信息表!$A$4:$H$23,MATCH(F133,客户信息表!$B$4:$B$23,0),1)</f>
        <v>KH003</v>
      </c>
      <c r="H133" s="4" t="str">
        <f>_xlfn.XLOOKUP(O133,产品信息表!$A$4:$A$15,产品信息表!$C$4:$C$15)</f>
        <v>电子数码</v>
      </c>
      <c r="I133" s="30">
        <f>DATE(MID(A133,4,4),MID(A133,8,2),MID(A133,10,2))</f>
        <v>46180</v>
      </c>
      <c r="J133" s="4" t="str">
        <f t="shared" si="17"/>
        <v>0127</v>
      </c>
      <c r="K133" s="4" t="str">
        <f>VLOOKUP(D133,客户信息表!$A$3:$H$23,5,0)</f>
        <v>A</v>
      </c>
      <c r="L133" s="2" t="s">
        <v>18</v>
      </c>
      <c r="M133" s="2" t="s">
        <v>25</v>
      </c>
      <c r="N133" s="2" t="str">
        <f t="shared" si="18"/>
        <v>华南</v>
      </c>
      <c r="O133" s="2" t="s">
        <v>62</v>
      </c>
      <c r="P133" s="4" t="s">
        <v>63</v>
      </c>
      <c r="Q133" s="5">
        <v>1299</v>
      </c>
      <c r="R133" s="2">
        <v>1</v>
      </c>
      <c r="S133" s="2">
        <f t="shared" si="19"/>
        <v>1</v>
      </c>
      <c r="T133" s="2">
        <f>VLOOKUP(S133,折扣阶梯!$A$3:$C$7,2,TRUE)</f>
        <v>1</v>
      </c>
      <c r="U133" s="5">
        <v>1299</v>
      </c>
      <c r="V133" s="5">
        <f t="shared" si="20"/>
        <v>1299</v>
      </c>
      <c r="W133" s="2" t="s">
        <v>50</v>
      </c>
      <c r="X133">
        <f t="shared" si="21"/>
        <v>1299</v>
      </c>
      <c r="Y133">
        <f>_xlfn.XLOOKUP(O133,产品信息表!$A$4:$A$15,产品信息表!$E$4:$E$15)</f>
        <v>950</v>
      </c>
      <c r="Z133" s="31">
        <f t="shared" si="22"/>
        <v>0.26866820631254812</v>
      </c>
      <c r="AA133">
        <f t="shared" si="23"/>
        <v>69</v>
      </c>
    </row>
    <row r="134" spans="1:27" ht="14.5">
      <c r="A134" s="2" t="s">
        <v>266</v>
      </c>
      <c r="B134" s="3">
        <v>46182</v>
      </c>
      <c r="C134" s="3" t="str">
        <f t="shared" si="16"/>
        <v>2026-06-09</v>
      </c>
      <c r="D134" s="2" t="s">
        <v>9</v>
      </c>
      <c r="E134" s="2" t="str">
        <f>VLOOKUP(D134,客户信息表!A$3:H$23,2,0)</f>
        <v>广州启航教育</v>
      </c>
      <c r="F134" s="4" t="s">
        <v>10</v>
      </c>
      <c r="G134" s="4" t="str">
        <f>INDEX(客户信息表!$A$4:$H$23,MATCH(F134,客户信息表!$B$4:$B$23,0),1)</f>
        <v>KH003</v>
      </c>
      <c r="H134" s="4" t="str">
        <f>_xlfn.XLOOKUP(O134,产品信息表!$A$4:$A$15,产品信息表!$C$4:$C$15)</f>
        <v>软件服务</v>
      </c>
      <c r="I134" s="30">
        <f>DATE(MID(A134,4,4),MID(A134,8,2),MID(A134,10,2))</f>
        <v>46182</v>
      </c>
      <c r="J134" s="4" t="str">
        <f t="shared" si="17"/>
        <v>0128</v>
      </c>
      <c r="K134" s="4" t="str">
        <f>VLOOKUP(D134,客户信息表!$A$3:$H$23,5,0)</f>
        <v>A</v>
      </c>
      <c r="L134" s="2" t="s">
        <v>78</v>
      </c>
      <c r="M134" s="2" t="s">
        <v>25</v>
      </c>
      <c r="N134" s="2" t="str">
        <f t="shared" si="18"/>
        <v>华南</v>
      </c>
      <c r="O134" s="2" t="s">
        <v>12</v>
      </c>
      <c r="P134" s="4" t="s">
        <v>13</v>
      </c>
      <c r="Q134" s="5">
        <v>699</v>
      </c>
      <c r="R134" s="2">
        <v>3</v>
      </c>
      <c r="S134" s="2">
        <f t="shared" si="19"/>
        <v>3</v>
      </c>
      <c r="T134" s="2">
        <f>VLOOKUP(S134,折扣阶梯!$A$3:$C$7,2,TRUE)</f>
        <v>1</v>
      </c>
      <c r="U134" s="5">
        <v>2097</v>
      </c>
      <c r="V134" s="5">
        <f t="shared" si="20"/>
        <v>2097</v>
      </c>
      <c r="W134" s="2" t="s">
        <v>22</v>
      </c>
      <c r="X134">
        <f t="shared" si="21"/>
        <v>2097</v>
      </c>
      <c r="Y134">
        <f>_xlfn.XLOOKUP(O134,产品信息表!$A$4:$A$15,产品信息表!$E$4:$E$15)</f>
        <v>300</v>
      </c>
      <c r="Z134" s="31">
        <f t="shared" si="22"/>
        <v>0.57081545064377681</v>
      </c>
      <c r="AA134">
        <f t="shared" si="23"/>
        <v>65</v>
      </c>
    </row>
    <row r="135" spans="1:27" ht="14.5">
      <c r="A135" s="6" t="s">
        <v>267</v>
      </c>
      <c r="B135" s="7">
        <v>46182</v>
      </c>
      <c r="C135" s="3" t="str">
        <f t="shared" si="16"/>
        <v>2026-06-09</v>
      </c>
      <c r="D135" s="6" t="s">
        <v>76</v>
      </c>
      <c r="E135" s="2" t="str">
        <f>VLOOKUP(D135,客户信息表!A$3:H$23,2,0)</f>
        <v>北京华信科技</v>
      </c>
      <c r="F135" s="8" t="s">
        <v>77</v>
      </c>
      <c r="G135" s="4" t="str">
        <f>INDEX(客户信息表!$A$4:$H$23,MATCH(F135,客户信息表!$B$4:$B$23,0),1)</f>
        <v>KH001</v>
      </c>
      <c r="H135" s="4" t="str">
        <f>_xlfn.XLOOKUP(O135,产品信息表!$A$4:$A$15,产品信息表!$C$4:$C$15)</f>
        <v>办公耗材</v>
      </c>
      <c r="I135" s="30">
        <f>DATE(MID(A135,4,4),MID(A135,8,2),MID(A135,10,2))</f>
        <v>46182</v>
      </c>
      <c r="J135" s="4" t="str">
        <f t="shared" si="17"/>
        <v>0129</v>
      </c>
      <c r="K135" s="4" t="str">
        <f>VLOOKUP(D135,客户信息表!$A$3:$H$23,5,0)</f>
        <v>A</v>
      </c>
      <c r="L135" s="6" t="s">
        <v>55</v>
      </c>
      <c r="M135" s="6" t="s">
        <v>38</v>
      </c>
      <c r="N135" s="2" t="str">
        <f t="shared" si="18"/>
        <v>华北</v>
      </c>
      <c r="O135" s="6" t="s">
        <v>73</v>
      </c>
      <c r="P135" s="8" t="s">
        <v>74</v>
      </c>
      <c r="Q135" s="9">
        <v>385</v>
      </c>
      <c r="R135" s="6">
        <v>25</v>
      </c>
      <c r="S135" s="2">
        <f t="shared" si="19"/>
        <v>25</v>
      </c>
      <c r="T135" s="2">
        <f>VLOOKUP(S135,折扣阶梯!$A$3:$C$7,2,TRUE)</f>
        <v>0.95</v>
      </c>
      <c r="U135" s="9">
        <v>9625</v>
      </c>
      <c r="V135" s="5">
        <f t="shared" si="20"/>
        <v>9625</v>
      </c>
      <c r="W135" s="6" t="s">
        <v>22</v>
      </c>
      <c r="X135">
        <f t="shared" si="21"/>
        <v>9143.75</v>
      </c>
      <c r="Y135">
        <f>_xlfn.XLOOKUP(O135,产品信息表!$A$4:$A$15,产品信息表!$E$4:$E$15)</f>
        <v>260</v>
      </c>
      <c r="Z135" s="31">
        <f t="shared" si="22"/>
        <v>0.28913192071086807</v>
      </c>
      <c r="AA135">
        <f t="shared" si="23"/>
        <v>36</v>
      </c>
    </row>
    <row r="136" spans="1:27" ht="14.5">
      <c r="A136" s="2" t="s">
        <v>268</v>
      </c>
      <c r="B136" s="3">
        <v>46183</v>
      </c>
      <c r="C136" s="3" t="str">
        <f t="shared" si="16"/>
        <v>2026-06-10</v>
      </c>
      <c r="D136" s="2" t="s">
        <v>60</v>
      </c>
      <c r="E136" s="2" t="str">
        <f>VLOOKUP(D136,客户信息表!A$3:H$23,2,0)</f>
        <v>杭州云图信息</v>
      </c>
      <c r="F136" s="4" t="s">
        <v>61</v>
      </c>
      <c r="G136" s="4" t="str">
        <f>INDEX(客户信息表!$A$4:$H$23,MATCH(F136,客户信息表!$B$4:$B$23,0),1)</f>
        <v>KH005</v>
      </c>
      <c r="H136" s="4" t="str">
        <f>_xlfn.XLOOKUP(O136,产品信息表!$A$4:$A$15,产品信息表!$C$4:$C$15)</f>
        <v>办公耗材</v>
      </c>
      <c r="I136" s="30">
        <f>DATE(MID(A136,4,4),MID(A136,8,2),MID(A136,10,2))</f>
        <v>46183</v>
      </c>
      <c r="J136" s="4" t="str">
        <f t="shared" si="17"/>
        <v>0130</v>
      </c>
      <c r="K136" s="4" t="str">
        <f>VLOOKUP(D136,客户信息表!$A$3:$H$23,5,0)</f>
        <v>A</v>
      </c>
      <c r="L136" s="2" t="s">
        <v>11</v>
      </c>
      <c r="M136" s="2" t="s">
        <v>19</v>
      </c>
      <c r="N136" s="2" t="str">
        <f t="shared" si="18"/>
        <v>华东</v>
      </c>
      <c r="O136" s="2" t="s">
        <v>39</v>
      </c>
      <c r="P136" s="4" t="s">
        <v>40</v>
      </c>
      <c r="Q136" s="5">
        <v>128</v>
      </c>
      <c r="R136" s="2">
        <v>51</v>
      </c>
      <c r="S136" s="2">
        <f t="shared" si="19"/>
        <v>51</v>
      </c>
      <c r="T136" s="2">
        <f>VLOOKUP(S136,折扣阶梯!$A$3:$C$7,2,TRUE)</f>
        <v>0.9</v>
      </c>
      <c r="U136" s="5">
        <v>6528</v>
      </c>
      <c r="V136" s="5">
        <f t="shared" si="20"/>
        <v>6528</v>
      </c>
      <c r="W136" s="2" t="s">
        <v>22</v>
      </c>
      <c r="X136">
        <f t="shared" si="21"/>
        <v>5875.2</v>
      </c>
      <c r="Y136">
        <f>_xlfn.XLOOKUP(O136,产品信息表!$A$4:$A$15,产品信息表!$E$4:$E$15)</f>
        <v>95</v>
      </c>
      <c r="Z136" s="31">
        <f t="shared" si="22"/>
        <v>0.17534722222222221</v>
      </c>
      <c r="AA136">
        <f t="shared" si="23"/>
        <v>42</v>
      </c>
    </row>
    <row r="137" spans="1:27" ht="14.5">
      <c r="A137" s="6" t="s">
        <v>269</v>
      </c>
      <c r="B137" s="7">
        <v>46186</v>
      </c>
      <c r="C137" s="3" t="str">
        <f t="shared" si="16"/>
        <v>2026-06-13</v>
      </c>
      <c r="D137" s="6" t="s">
        <v>52</v>
      </c>
      <c r="E137" s="2" t="str">
        <f>VLOOKUP(D137,客户信息表!A$3:H$23,2,0)</f>
        <v>武汉长江实业</v>
      </c>
      <c r="F137" s="8" t="s">
        <v>53</v>
      </c>
      <c r="G137" s="4" t="str">
        <f>INDEX(客户信息表!$A$4:$H$23,MATCH(F137,客户信息表!$B$4:$B$23,0),1)</f>
        <v>KH007</v>
      </c>
      <c r="H137" s="4" t="str">
        <f>_xlfn.XLOOKUP(O137,产品信息表!$A$4:$A$15,产品信息表!$C$4:$C$15)</f>
        <v>办公耗材</v>
      </c>
      <c r="I137" s="30">
        <f>DATE(MID(A137,4,4),MID(A137,8,2),MID(A137,10,2))</f>
        <v>46186</v>
      </c>
      <c r="J137" s="4" t="str">
        <f t="shared" si="17"/>
        <v>0131</v>
      </c>
      <c r="K137" s="4" t="str">
        <f>VLOOKUP(D137,客户信息表!$A$3:$H$23,5,0)</f>
        <v>B</v>
      </c>
      <c r="L137" s="6" t="s">
        <v>55</v>
      </c>
      <c r="M137" s="6" t="s">
        <v>45</v>
      </c>
      <c r="N137" s="2" t="str">
        <f t="shared" si="18"/>
        <v>华中</v>
      </c>
      <c r="O137" s="6" t="s">
        <v>39</v>
      </c>
      <c r="P137" s="8" t="s">
        <v>40</v>
      </c>
      <c r="Q137" s="9">
        <v>128</v>
      </c>
      <c r="R137" s="6">
        <v>118</v>
      </c>
      <c r="S137" s="2">
        <f t="shared" si="19"/>
        <v>118</v>
      </c>
      <c r="T137" s="2">
        <f>VLOOKUP(S137,折扣阶梯!$A$3:$C$7,2,TRUE)</f>
        <v>0.85</v>
      </c>
      <c r="U137" s="9">
        <v>15104</v>
      </c>
      <c r="V137" s="5">
        <f t="shared" si="20"/>
        <v>15104</v>
      </c>
      <c r="W137" s="6" t="s">
        <v>50</v>
      </c>
      <c r="X137">
        <f t="shared" si="21"/>
        <v>12838.4</v>
      </c>
      <c r="Y137">
        <f>_xlfn.XLOOKUP(O137,产品信息表!$A$4:$A$15,产品信息表!$E$4:$E$15)</f>
        <v>95</v>
      </c>
      <c r="Z137" s="31">
        <f t="shared" si="22"/>
        <v>0.12683823529411761</v>
      </c>
      <c r="AA137">
        <f t="shared" si="23"/>
        <v>24</v>
      </c>
    </row>
    <row r="138" spans="1:27" ht="14.5">
      <c r="A138" s="2" t="s">
        <v>270</v>
      </c>
      <c r="B138" s="3">
        <v>46188</v>
      </c>
      <c r="C138" s="3" t="str">
        <f t="shared" si="16"/>
        <v>2026-06-15</v>
      </c>
      <c r="D138" s="2" t="s">
        <v>98</v>
      </c>
      <c r="E138" s="2" t="str">
        <f>VLOOKUP(D138,客户信息表!A$3:H$23,2,0)</f>
        <v>苏州创智科技</v>
      </c>
      <c r="F138" s="4" t="s">
        <v>99</v>
      </c>
      <c r="G138" s="4" t="str">
        <f>INDEX(客户信息表!$A$4:$H$23,MATCH(F138,客户信息表!$B$4:$B$23,0),1)</f>
        <v>KH010</v>
      </c>
      <c r="H138" s="4" t="str">
        <f>_xlfn.XLOOKUP(O138,产品信息表!$A$4:$A$15,产品信息表!$C$4:$C$15)</f>
        <v>办公耗材</v>
      </c>
      <c r="I138" s="30">
        <f>DATE(MID(A138,4,4),MID(A138,8,2),MID(A138,10,2))</f>
        <v>46188</v>
      </c>
      <c r="J138" s="4" t="str">
        <f t="shared" si="17"/>
        <v>0132</v>
      </c>
      <c r="K138" s="4" t="str">
        <f>VLOOKUP(D138,客户信息表!$A$3:$H$23,5,0)</f>
        <v>A</v>
      </c>
      <c r="L138" s="2" t="s">
        <v>67</v>
      </c>
      <c r="M138" s="2" t="s">
        <v>19</v>
      </c>
      <c r="N138" s="2" t="str">
        <f t="shared" si="18"/>
        <v>华东</v>
      </c>
      <c r="O138" s="2" t="s">
        <v>73</v>
      </c>
      <c r="P138" s="4" t="s">
        <v>271</v>
      </c>
      <c r="Q138" s="5">
        <v>385</v>
      </c>
      <c r="R138" s="2">
        <v>66</v>
      </c>
      <c r="S138" s="2">
        <f t="shared" si="19"/>
        <v>66</v>
      </c>
      <c r="T138" s="2">
        <f>VLOOKUP(S138,折扣阶梯!$A$3:$C$7,2,TRUE)</f>
        <v>0.9</v>
      </c>
      <c r="U138" s="5">
        <v>25410</v>
      </c>
      <c r="V138" s="5">
        <f t="shared" si="20"/>
        <v>25410</v>
      </c>
      <c r="W138" s="2" t="s">
        <v>22</v>
      </c>
      <c r="X138">
        <f t="shared" si="21"/>
        <v>22869</v>
      </c>
      <c r="Y138">
        <f>_xlfn.XLOOKUP(O138,产品信息表!$A$4:$A$15,产品信息表!$E$4:$E$15)</f>
        <v>260</v>
      </c>
      <c r="Z138" s="31">
        <f t="shared" si="22"/>
        <v>0.24963924963924963</v>
      </c>
      <c r="AA138">
        <f t="shared" si="23"/>
        <v>12</v>
      </c>
    </row>
    <row r="139" spans="1:27" ht="14.5">
      <c r="A139" s="6" t="s">
        <v>272</v>
      </c>
      <c r="B139" s="7">
        <v>46188</v>
      </c>
      <c r="C139" s="3" t="str">
        <f t="shared" si="16"/>
        <v>2026-06-15</v>
      </c>
      <c r="D139" s="6" t="s">
        <v>65</v>
      </c>
      <c r="E139" s="2" t="str">
        <f>VLOOKUP(D139,客户信息表!A$3:H$23,2,0)</f>
        <v>重庆山城办公设备</v>
      </c>
      <c r="F139" s="8" t="s">
        <v>66</v>
      </c>
      <c r="G139" s="4" t="str">
        <f>INDEX(客户信息表!$A$4:$H$23,MATCH(F139,客户信息表!$B$4:$B$23,0),1)</f>
        <v>KH011</v>
      </c>
      <c r="H139" s="4" t="str">
        <f>_xlfn.XLOOKUP(O139,产品信息表!$A$4:$A$15,产品信息表!$C$4:$C$15)</f>
        <v>办公耗材</v>
      </c>
      <c r="I139" s="30">
        <f>DATE(MID(A139,4,4),MID(A139,8,2),MID(A139,10,2))</f>
        <v>46188</v>
      </c>
      <c r="J139" s="4" t="str">
        <f t="shared" si="17"/>
        <v>0133</v>
      </c>
      <c r="K139" s="4" t="str">
        <f>VLOOKUP(D139,客户信息表!$A$3:$H$23,5,0)</f>
        <v>B</v>
      </c>
      <c r="L139" s="6" t="s">
        <v>78</v>
      </c>
      <c r="M139" s="6" t="s">
        <v>68</v>
      </c>
      <c r="N139" s="2" t="str">
        <f t="shared" si="18"/>
        <v>西南</v>
      </c>
      <c r="O139" s="6" t="s">
        <v>73</v>
      </c>
      <c r="P139" s="8" t="s">
        <v>74</v>
      </c>
      <c r="Q139" s="9">
        <v>385</v>
      </c>
      <c r="R139" s="6">
        <v>71</v>
      </c>
      <c r="S139" s="2">
        <f t="shared" si="19"/>
        <v>71</v>
      </c>
      <c r="T139" s="2">
        <f>VLOOKUP(S139,折扣阶梯!$A$3:$C$7,2,TRUE)</f>
        <v>0.9</v>
      </c>
      <c r="U139" s="11" t="s">
        <v>273</v>
      </c>
      <c r="V139" s="5">
        <f t="shared" si="20"/>
        <v>27335</v>
      </c>
      <c r="W139" s="6" t="s">
        <v>50</v>
      </c>
      <c r="X139">
        <f t="shared" si="21"/>
        <v>24601.5</v>
      </c>
      <c r="Y139">
        <f>_xlfn.XLOOKUP(O139,产品信息表!$A$4:$A$15,产品信息表!$E$4:$E$15)</f>
        <v>260</v>
      </c>
      <c r="Z139" s="31">
        <f t="shared" si="22"/>
        <v>0.24963924963924963</v>
      </c>
      <c r="AA139">
        <f t="shared" si="23"/>
        <v>10</v>
      </c>
    </row>
    <row r="140" spans="1:27" ht="14.5">
      <c r="A140" s="2" t="s">
        <v>274</v>
      </c>
      <c r="B140" s="3">
        <v>46188</v>
      </c>
      <c r="C140" s="3" t="str">
        <f t="shared" si="16"/>
        <v>2026-06-15</v>
      </c>
      <c r="D140" s="2" t="s">
        <v>149</v>
      </c>
      <c r="E140" s="2" t="str">
        <f>VLOOKUP(D140,客户信息表!A$3:H$23,2,0)</f>
        <v>深圳蓝鲸网络</v>
      </c>
      <c r="F140" s="4" t="s">
        <v>150</v>
      </c>
      <c r="G140" s="4" t="str">
        <f>INDEX(客户信息表!$A$4:$H$23,MATCH(F140,客户信息表!$B$4:$B$23,0),1)</f>
        <v>KH004</v>
      </c>
      <c r="H140" s="4" t="str">
        <f>_xlfn.XLOOKUP(O140,产品信息表!$A$4:$A$15,产品信息表!$C$4:$C$15)</f>
        <v>办公耗材</v>
      </c>
      <c r="I140" s="30">
        <f>DATE(MID(A140,4,4),MID(A140,8,2),MID(A140,10,2))</f>
        <v>46188</v>
      </c>
      <c r="J140" s="4" t="str">
        <f t="shared" si="17"/>
        <v>0134</v>
      </c>
      <c r="K140" s="4" t="str">
        <f>VLOOKUP(D140,客户信息表!$A$3:$H$23,5,0)</f>
        <v>B</v>
      </c>
      <c r="L140" s="2" t="s">
        <v>11</v>
      </c>
      <c r="M140" s="2" t="s">
        <v>25</v>
      </c>
      <c r="N140" s="2" t="str">
        <f t="shared" si="18"/>
        <v>华南</v>
      </c>
      <c r="O140" s="2" t="s">
        <v>48</v>
      </c>
      <c r="P140" s="4" t="s">
        <v>49</v>
      </c>
      <c r="Q140" s="5">
        <v>45</v>
      </c>
      <c r="R140" s="2">
        <v>77</v>
      </c>
      <c r="S140" s="2">
        <f t="shared" si="19"/>
        <v>77</v>
      </c>
      <c r="T140" s="2">
        <f>VLOOKUP(S140,折扣阶梯!$A$3:$C$7,2,TRUE)</f>
        <v>0.9</v>
      </c>
      <c r="U140" s="5">
        <v>3465</v>
      </c>
      <c r="V140" s="5">
        <f t="shared" si="20"/>
        <v>3465</v>
      </c>
      <c r="W140" s="2" t="s">
        <v>89</v>
      </c>
      <c r="X140">
        <f t="shared" si="21"/>
        <v>3118.5</v>
      </c>
      <c r="Y140">
        <f>_xlfn.XLOOKUP(O140,产品信息表!$A$4:$A$15,产品信息表!$E$4:$E$15)</f>
        <v>28</v>
      </c>
      <c r="Z140" s="31">
        <f t="shared" si="22"/>
        <v>0.30864197530864196</v>
      </c>
      <c r="AA140">
        <f t="shared" si="23"/>
        <v>53</v>
      </c>
    </row>
    <row r="141" spans="1:27" ht="14.5">
      <c r="A141" s="6" t="s">
        <v>275</v>
      </c>
      <c r="B141" s="7">
        <v>46189</v>
      </c>
      <c r="C141" s="3" t="str">
        <f t="shared" si="16"/>
        <v>2026-06-16</v>
      </c>
      <c r="D141" s="6" t="s">
        <v>60</v>
      </c>
      <c r="E141" s="2" t="str">
        <f>VLOOKUP(D141,客户信息表!A$3:H$23,2,0)</f>
        <v>杭州云图信息</v>
      </c>
      <c r="F141" s="8" t="s">
        <v>61</v>
      </c>
      <c r="G141" s="4" t="str">
        <f>INDEX(客户信息表!$A$4:$H$23,MATCH(F141,客户信息表!$B$4:$B$23,0),1)</f>
        <v>KH005</v>
      </c>
      <c r="H141" s="4" t="str">
        <f>_xlfn.XLOOKUP(O141,产品信息表!$A$4:$A$15,产品信息表!$C$4:$C$15)</f>
        <v>软件服务</v>
      </c>
      <c r="I141" s="30">
        <f>DATE(MID(A141,4,4),MID(A141,8,2),MID(A141,10,2))</f>
        <v>46189</v>
      </c>
      <c r="J141" s="4" t="str">
        <f t="shared" si="17"/>
        <v>0135</v>
      </c>
      <c r="K141" s="4" t="str">
        <f>VLOOKUP(D141,客户信息表!$A$3:$H$23,5,0)</f>
        <v>A</v>
      </c>
      <c r="L141" s="6" t="s">
        <v>24</v>
      </c>
      <c r="M141" s="6" t="s">
        <v>19</v>
      </c>
      <c r="N141" s="2" t="str">
        <f t="shared" si="18"/>
        <v>华东</v>
      </c>
      <c r="O141" s="6" t="s">
        <v>12</v>
      </c>
      <c r="P141" s="8" t="s">
        <v>13</v>
      </c>
      <c r="Q141" s="9">
        <v>699</v>
      </c>
      <c r="R141" s="6">
        <v>22</v>
      </c>
      <c r="S141" s="2">
        <f t="shared" si="19"/>
        <v>22</v>
      </c>
      <c r="T141" s="2">
        <f>VLOOKUP(S141,折扣阶梯!$A$3:$C$7,2,TRUE)</f>
        <v>0.95</v>
      </c>
      <c r="U141" s="9">
        <v>15378</v>
      </c>
      <c r="V141" s="5">
        <f t="shared" si="20"/>
        <v>15378</v>
      </c>
      <c r="W141" s="6" t="s">
        <v>22</v>
      </c>
      <c r="X141">
        <f t="shared" si="21"/>
        <v>14609.099999999999</v>
      </c>
      <c r="Y141">
        <f>_xlfn.XLOOKUP(O141,产品信息表!$A$4:$A$15,产品信息表!$E$4:$E$15)</f>
        <v>300</v>
      </c>
      <c r="Z141" s="31">
        <f t="shared" si="22"/>
        <v>0.54822679015134401</v>
      </c>
      <c r="AA141">
        <f t="shared" si="23"/>
        <v>21</v>
      </c>
    </row>
    <row r="142" spans="1:27" ht="14.5">
      <c r="A142" s="2" t="s">
        <v>276</v>
      </c>
      <c r="B142" s="3">
        <v>46190</v>
      </c>
      <c r="C142" s="3" t="str">
        <f t="shared" si="16"/>
        <v>2026-06-17</v>
      </c>
      <c r="D142" s="2" t="s">
        <v>42</v>
      </c>
      <c r="E142" s="2" t="str">
        <f>VLOOKUP(D142,客户信息表!A$3:H$23,2,0)</f>
        <v>郑州中原物流</v>
      </c>
      <c r="F142" s="4" t="s">
        <v>43</v>
      </c>
      <c r="G142" s="4" t="str">
        <f>INDEX(客户信息表!$A$4:$H$23,MATCH(F142,客户信息表!$B$4:$B$23,0),1)</f>
        <v>KH017</v>
      </c>
      <c r="H142" s="4" t="str">
        <f>_xlfn.XLOOKUP(O142,产品信息表!$A$4:$A$15,产品信息表!$C$4:$C$15)</f>
        <v>办公耗材</v>
      </c>
      <c r="I142" s="30">
        <f>DATE(MID(A142,4,4),MID(A142,8,2),MID(A142,10,2))</f>
        <v>46190</v>
      </c>
      <c r="J142" s="4" t="str">
        <f t="shared" si="17"/>
        <v>0136</v>
      </c>
      <c r="K142" s="4" t="str">
        <f>VLOOKUP(D142,客户信息表!$A$3:$H$23,5,0)</f>
        <v>B</v>
      </c>
      <c r="L142" s="2" t="s">
        <v>37</v>
      </c>
      <c r="M142" s="2" t="s">
        <v>45</v>
      </c>
      <c r="N142" s="2" t="str">
        <f t="shared" si="18"/>
        <v>华中</v>
      </c>
      <c r="O142" s="2" t="s">
        <v>39</v>
      </c>
      <c r="P142" s="4" t="s">
        <v>40</v>
      </c>
      <c r="Q142" s="5">
        <v>128</v>
      </c>
      <c r="R142" s="2">
        <v>55</v>
      </c>
      <c r="S142" s="2">
        <f t="shared" si="19"/>
        <v>55</v>
      </c>
      <c r="T142" s="2">
        <f>VLOOKUP(S142,折扣阶梯!$A$3:$C$7,2,TRUE)</f>
        <v>0.9</v>
      </c>
      <c r="U142" s="5">
        <v>7040</v>
      </c>
      <c r="V142" s="5">
        <f t="shared" si="20"/>
        <v>7040</v>
      </c>
      <c r="W142" s="2" t="s">
        <v>14</v>
      </c>
      <c r="X142">
        <f t="shared" si="21"/>
        <v>6336</v>
      </c>
      <c r="Y142">
        <f>_xlfn.XLOOKUP(O142,产品信息表!$A$4:$A$15,产品信息表!$E$4:$E$15)</f>
        <v>95</v>
      </c>
      <c r="Z142" s="31">
        <f t="shared" si="22"/>
        <v>0.17534722222222221</v>
      </c>
      <c r="AA142">
        <f t="shared" si="23"/>
        <v>37</v>
      </c>
    </row>
    <row r="143" spans="1:27" ht="14.5">
      <c r="A143" s="6" t="s">
        <v>277</v>
      </c>
      <c r="B143" s="7">
        <v>46192</v>
      </c>
      <c r="C143" s="3" t="str">
        <f t="shared" si="16"/>
        <v>2026-06-19</v>
      </c>
      <c r="D143" s="6" t="s">
        <v>16</v>
      </c>
      <c r="E143" s="2" t="str">
        <f>VLOOKUP(D143,客户信息表!A$3:H$23,2,0)</f>
        <v>上海锦程贸易</v>
      </c>
      <c r="F143" s="8" t="s">
        <v>17</v>
      </c>
      <c r="G143" s="4" t="str">
        <f>INDEX(客户信息表!$A$4:$H$23,MATCH(F143,客户信息表!$B$4:$B$23,0),1)</f>
        <v>KH002</v>
      </c>
      <c r="H143" s="4" t="str">
        <f>_xlfn.XLOOKUP(O143,产品信息表!$A$4:$A$15,产品信息表!$C$4:$C$15)</f>
        <v>电子数码</v>
      </c>
      <c r="I143" s="30">
        <f>DATE(MID(A143,4,4),MID(A143,8,2),MID(A143,10,2))</f>
        <v>46192</v>
      </c>
      <c r="J143" s="4" t="str">
        <f t="shared" si="17"/>
        <v>0137</v>
      </c>
      <c r="K143" s="4" t="str">
        <f>VLOOKUP(D143,客户信息表!$A$3:$H$23,5,0)</f>
        <v>B</v>
      </c>
      <c r="L143" s="6" t="s">
        <v>18</v>
      </c>
      <c r="M143" s="6" t="s">
        <v>19</v>
      </c>
      <c r="N143" s="2" t="str">
        <f t="shared" si="18"/>
        <v>华东</v>
      </c>
      <c r="O143" s="6" t="s">
        <v>62</v>
      </c>
      <c r="P143" s="8" t="s">
        <v>63</v>
      </c>
      <c r="Q143" s="9">
        <v>1299</v>
      </c>
      <c r="R143" s="6">
        <v>4</v>
      </c>
      <c r="S143" s="2">
        <f t="shared" si="19"/>
        <v>4</v>
      </c>
      <c r="T143" s="2">
        <f>VLOOKUP(S143,折扣阶梯!$A$3:$C$7,2,TRUE)</f>
        <v>1</v>
      </c>
      <c r="U143" s="9">
        <v>5196</v>
      </c>
      <c r="V143" s="5">
        <f t="shared" si="20"/>
        <v>5196</v>
      </c>
      <c r="W143" s="6" t="s">
        <v>50</v>
      </c>
      <c r="X143">
        <f t="shared" si="21"/>
        <v>5196</v>
      </c>
      <c r="Y143">
        <f>_xlfn.XLOOKUP(O143,产品信息表!$A$4:$A$15,产品信息表!$E$4:$E$15)</f>
        <v>950</v>
      </c>
      <c r="Z143" s="31">
        <f t="shared" si="22"/>
        <v>0.26866820631254812</v>
      </c>
      <c r="AA143">
        <f t="shared" si="23"/>
        <v>44</v>
      </c>
    </row>
    <row r="144" spans="1:27" ht="14.5">
      <c r="A144" s="2" t="s">
        <v>278</v>
      </c>
      <c r="B144" s="3">
        <v>46194</v>
      </c>
      <c r="C144" s="3" t="str">
        <f t="shared" si="16"/>
        <v>2026-06-21</v>
      </c>
      <c r="D144" s="2" t="s">
        <v>107</v>
      </c>
      <c r="E144" s="2" t="str">
        <f>VLOOKUP(D144,客户信息表!A$3:H$23,2,0)</f>
        <v>天津海河传媒</v>
      </c>
      <c r="F144" s="4" t="s">
        <v>108</v>
      </c>
      <c r="G144" s="4" t="str">
        <f>INDEX(客户信息表!$A$4:$H$23,MATCH(F144,客户信息表!$B$4:$B$23,0),1)</f>
        <v>KH009</v>
      </c>
      <c r="H144" s="4" t="str">
        <f>_xlfn.XLOOKUP(O144,产品信息表!$A$4:$A$15,产品信息表!$C$4:$C$15)</f>
        <v>软件服务</v>
      </c>
      <c r="I144" s="30">
        <f>DATE(MID(A144,4,4),MID(A144,8,2),MID(A144,10,2))</f>
        <v>46194</v>
      </c>
      <c r="J144" s="4" t="str">
        <f t="shared" si="17"/>
        <v>0138</v>
      </c>
      <c r="K144" s="4" t="str">
        <f>VLOOKUP(D144,客户信息表!$A$3:$H$23,5,0)</f>
        <v>C</v>
      </c>
      <c r="L144" s="2" t="s">
        <v>44</v>
      </c>
      <c r="M144" s="2" t="s">
        <v>38</v>
      </c>
      <c r="N144" s="2" t="str">
        <f t="shared" si="18"/>
        <v>华北</v>
      </c>
      <c r="O144" s="2" t="s">
        <v>12</v>
      </c>
      <c r="P144" s="4" t="s">
        <v>13</v>
      </c>
      <c r="Q144" s="5">
        <v>699</v>
      </c>
      <c r="R144" s="2">
        <v>8</v>
      </c>
      <c r="S144" s="2">
        <f t="shared" si="19"/>
        <v>8</v>
      </c>
      <c r="T144" s="2">
        <f>VLOOKUP(S144,折扣阶梯!$A$3:$C$7,2,TRUE)</f>
        <v>1</v>
      </c>
      <c r="U144" s="10" t="s">
        <v>279</v>
      </c>
      <c r="V144" s="5">
        <f t="shared" si="20"/>
        <v>5592</v>
      </c>
      <c r="W144" s="2" t="s">
        <v>50</v>
      </c>
      <c r="X144">
        <f t="shared" si="21"/>
        <v>5592</v>
      </c>
      <c r="Y144">
        <f>_xlfn.XLOOKUP(O144,产品信息表!$A$4:$A$15,产品信息表!$E$4:$E$15)</f>
        <v>300</v>
      </c>
      <c r="Z144" s="31">
        <f t="shared" si="22"/>
        <v>0.57081545064377681</v>
      </c>
      <c r="AA144">
        <f t="shared" si="23"/>
        <v>39</v>
      </c>
    </row>
    <row r="145" spans="1:27" ht="14.5">
      <c r="A145" s="6" t="s">
        <v>280</v>
      </c>
      <c r="B145" s="7">
        <v>46194</v>
      </c>
      <c r="C145" s="3" t="str">
        <f t="shared" si="16"/>
        <v>2026-06-21</v>
      </c>
      <c r="D145" s="6" t="s">
        <v>76</v>
      </c>
      <c r="E145" s="2" t="str">
        <f>VLOOKUP(D145,客户信息表!A$3:H$23,2,0)</f>
        <v>北京华信科技</v>
      </c>
      <c r="F145" s="8" t="s">
        <v>77</v>
      </c>
      <c r="G145" s="4" t="str">
        <f>INDEX(客户信息表!$A$4:$H$23,MATCH(F145,客户信息表!$B$4:$B$23,0),1)</f>
        <v>KH001</v>
      </c>
      <c r="H145" s="4" t="str">
        <f>_xlfn.XLOOKUP(O145,产品信息表!$A$4:$A$15,产品信息表!$C$4:$C$15)</f>
        <v>电子数码</v>
      </c>
      <c r="I145" s="30">
        <f>DATE(MID(A145,4,4),MID(A145,8,2),MID(A145,10,2))</f>
        <v>46194</v>
      </c>
      <c r="J145" s="4" t="str">
        <f t="shared" si="17"/>
        <v>0139</v>
      </c>
      <c r="K145" s="4" t="str">
        <f>VLOOKUP(D145,客户信息表!$A$3:$H$23,5,0)</f>
        <v>A</v>
      </c>
      <c r="L145" s="6" t="s">
        <v>37</v>
      </c>
      <c r="M145" s="6" t="s">
        <v>38</v>
      </c>
      <c r="N145" s="2" t="str">
        <f t="shared" si="18"/>
        <v>华北</v>
      </c>
      <c r="O145" s="6" t="s">
        <v>91</v>
      </c>
      <c r="P145" s="8" t="s">
        <v>102</v>
      </c>
      <c r="Q145" s="9">
        <v>5699</v>
      </c>
      <c r="R145" s="6" t="s">
        <v>121</v>
      </c>
      <c r="S145" s="2">
        <f t="shared" si="19"/>
        <v>5</v>
      </c>
      <c r="T145" s="2">
        <f>VLOOKUP(S145,折扣阶梯!$A$3:$C$7,2,TRUE)</f>
        <v>1</v>
      </c>
      <c r="U145" s="9">
        <v>28495</v>
      </c>
      <c r="V145" s="5">
        <f t="shared" si="20"/>
        <v>28495</v>
      </c>
      <c r="W145" s="6" t="s">
        <v>50</v>
      </c>
      <c r="X145">
        <f t="shared" si="21"/>
        <v>28495</v>
      </c>
      <c r="Y145">
        <f>_xlfn.XLOOKUP(O145,产品信息表!$A$4:$A$15,产品信息表!$E$4:$E$15)</f>
        <v>4800</v>
      </c>
      <c r="Z145" s="31">
        <f t="shared" si="22"/>
        <v>0.15774697315318478</v>
      </c>
      <c r="AA145">
        <f t="shared" si="23"/>
        <v>9</v>
      </c>
    </row>
    <row r="146" spans="1:27" ht="14.5">
      <c r="A146" s="2" t="s">
        <v>281</v>
      </c>
      <c r="B146" s="3">
        <v>46195</v>
      </c>
      <c r="C146" s="3" t="str">
        <f t="shared" si="16"/>
        <v>2026-06-22</v>
      </c>
      <c r="D146" s="2" t="s">
        <v>152</v>
      </c>
      <c r="E146" s="2" t="str">
        <f>VLOOKUP(D146,客户信息表!A$3:H$23,2,0)</f>
        <v>厦门鹭岛文创</v>
      </c>
      <c r="F146" s="4" t="s">
        <v>153</v>
      </c>
      <c r="G146" s="4" t="str">
        <f>INDEX(客户信息表!$A$4:$H$23,MATCH(F146,客户信息表!$B$4:$B$23,0),1)</f>
        <v>KH018</v>
      </c>
      <c r="H146" s="4" t="str">
        <f>_xlfn.XLOOKUP(O146,产品信息表!$A$4:$A$15,产品信息表!$C$4:$C$15)</f>
        <v>办公设备</v>
      </c>
      <c r="I146" s="30">
        <f>DATE(MID(A146,4,4),MID(A146,8,2),MID(A146,10,2))</f>
        <v>46195</v>
      </c>
      <c r="J146" s="4" t="str">
        <f t="shared" si="17"/>
        <v>0140</v>
      </c>
      <c r="K146" s="4" t="str">
        <f>VLOOKUP(D146,客户信息表!$A$3:$H$23,5,0)</f>
        <v>C</v>
      </c>
      <c r="L146" s="2" t="s">
        <v>78</v>
      </c>
      <c r="M146" s="2" t="s">
        <v>25</v>
      </c>
      <c r="N146" s="2" t="str">
        <f t="shared" si="18"/>
        <v>华南</v>
      </c>
      <c r="O146" s="2" t="s">
        <v>176</v>
      </c>
      <c r="P146" s="4" t="s">
        <v>177</v>
      </c>
      <c r="Q146" s="5">
        <v>3599</v>
      </c>
      <c r="R146" s="2" t="s">
        <v>282</v>
      </c>
      <c r="S146" s="2">
        <f t="shared" si="19"/>
        <v>3</v>
      </c>
      <c r="T146" s="2">
        <f>VLOOKUP(S146,折扣阶梯!$A$3:$C$7,2,TRUE)</f>
        <v>1</v>
      </c>
      <c r="U146" s="5">
        <v>10797</v>
      </c>
      <c r="V146" s="5">
        <f t="shared" si="20"/>
        <v>10797</v>
      </c>
      <c r="W146" s="2" t="s">
        <v>50</v>
      </c>
      <c r="X146">
        <f t="shared" si="21"/>
        <v>10797</v>
      </c>
      <c r="Y146">
        <f>_xlfn.XLOOKUP(O146,产品信息表!$A$4:$A$15,产品信息表!$E$4:$E$15)</f>
        <v>2700</v>
      </c>
      <c r="Z146" s="31">
        <f t="shared" si="22"/>
        <v>0.24979160878021672</v>
      </c>
      <c r="AA146">
        <f t="shared" si="23"/>
        <v>27</v>
      </c>
    </row>
    <row r="147" spans="1:27" ht="14.5">
      <c r="A147" s="6" t="s">
        <v>283</v>
      </c>
      <c r="B147" s="7">
        <v>46196</v>
      </c>
      <c r="C147" s="3" t="str">
        <f t="shared" si="16"/>
        <v>2026-06-23</v>
      </c>
      <c r="D147" s="6" t="s">
        <v>42</v>
      </c>
      <c r="E147" s="2" t="str">
        <f>VLOOKUP(D147,客户信息表!A$3:H$23,2,0)</f>
        <v>郑州中原物流</v>
      </c>
      <c r="F147" s="8" t="s">
        <v>43</v>
      </c>
      <c r="G147" s="4" t="str">
        <f>INDEX(客户信息表!$A$4:$H$23,MATCH(F147,客户信息表!$B$4:$B$23,0),1)</f>
        <v>KH017</v>
      </c>
      <c r="H147" s="4" t="str">
        <f>_xlfn.XLOOKUP(O147,产品信息表!$A$4:$A$15,产品信息表!$C$4:$C$15)</f>
        <v>软件服务</v>
      </c>
      <c r="I147" s="30">
        <f>DATE(MID(A147,4,4),MID(A147,8,2),MID(A147,10,2))</f>
        <v>46196</v>
      </c>
      <c r="J147" s="4" t="str">
        <f t="shared" si="17"/>
        <v>0141</v>
      </c>
      <c r="K147" s="4" t="str">
        <f>VLOOKUP(D147,客户信息表!$A$3:$H$23,5,0)</f>
        <v>B</v>
      </c>
      <c r="L147" s="6" t="s">
        <v>18</v>
      </c>
      <c r="M147" s="6" t="s">
        <v>45</v>
      </c>
      <c r="N147" s="2" t="str">
        <f t="shared" si="18"/>
        <v>华中</v>
      </c>
      <c r="O147" s="6" t="s">
        <v>12</v>
      </c>
      <c r="P147" s="8" t="s">
        <v>13</v>
      </c>
      <c r="Q147" s="9">
        <v>699</v>
      </c>
      <c r="R147" s="6">
        <v>37</v>
      </c>
      <c r="S147" s="2">
        <f t="shared" si="19"/>
        <v>37</v>
      </c>
      <c r="T147" s="2">
        <f>VLOOKUP(S147,折扣阶梯!$A$3:$C$7,2,TRUE)</f>
        <v>0.95</v>
      </c>
      <c r="U147" s="9">
        <v>25863</v>
      </c>
      <c r="V147" s="5">
        <f t="shared" si="20"/>
        <v>25863</v>
      </c>
      <c r="W147" s="6" t="s">
        <v>89</v>
      </c>
      <c r="X147">
        <f t="shared" si="21"/>
        <v>24569.85</v>
      </c>
      <c r="Y147">
        <f>_xlfn.XLOOKUP(O147,产品信息表!$A$4:$A$15,产品信息表!$E$4:$E$15)</f>
        <v>300</v>
      </c>
      <c r="Z147" s="31">
        <f t="shared" si="22"/>
        <v>0.54822679015134401</v>
      </c>
      <c r="AA147">
        <f t="shared" si="23"/>
        <v>9</v>
      </c>
    </row>
    <row r="148" spans="1:27" ht="14.5">
      <c r="A148" s="2" t="s">
        <v>284</v>
      </c>
      <c r="B148" s="3">
        <v>46198</v>
      </c>
      <c r="C148" s="3" t="str">
        <f t="shared" si="16"/>
        <v>2026-06-25</v>
      </c>
      <c r="D148" s="2" t="s">
        <v>98</v>
      </c>
      <c r="E148" s="2" t="str">
        <f>VLOOKUP(D148,客户信息表!A$3:H$23,2,0)</f>
        <v>苏州创智科技</v>
      </c>
      <c r="F148" s="4" t="s">
        <v>99</v>
      </c>
      <c r="G148" s="4" t="str">
        <f>INDEX(客户信息表!$A$4:$H$23,MATCH(F148,客户信息表!$B$4:$B$23,0),1)</f>
        <v>KH010</v>
      </c>
      <c r="H148" s="4" t="str">
        <f>_xlfn.XLOOKUP(O148,产品信息表!$A$4:$A$15,产品信息表!$C$4:$C$15)</f>
        <v>办公设备</v>
      </c>
      <c r="I148" s="30">
        <f>DATE(MID(A148,4,4),MID(A148,8,2),MID(A148,10,2))</f>
        <v>46198</v>
      </c>
      <c r="J148" s="4" t="str">
        <f t="shared" si="17"/>
        <v>0142</v>
      </c>
      <c r="K148" s="4" t="str">
        <f>VLOOKUP(D148,客户信息表!$A$3:$H$23,5,0)</f>
        <v>A</v>
      </c>
      <c r="L148" s="2" t="s">
        <v>78</v>
      </c>
      <c r="M148" s="2" t="s">
        <v>160</v>
      </c>
      <c r="N148" s="2" t="str">
        <f t="shared" si="18"/>
        <v>华东</v>
      </c>
      <c r="O148" s="2" t="s">
        <v>81</v>
      </c>
      <c r="P148" s="4" t="s">
        <v>285</v>
      </c>
      <c r="Q148" s="5">
        <v>2499</v>
      </c>
      <c r="R148" s="2">
        <v>8</v>
      </c>
      <c r="S148" s="2">
        <f t="shared" si="19"/>
        <v>8</v>
      </c>
      <c r="T148" s="2">
        <f>VLOOKUP(S148,折扣阶梯!$A$3:$C$7,2,TRUE)</f>
        <v>1</v>
      </c>
      <c r="U148" s="5">
        <v>19992</v>
      </c>
      <c r="V148" s="5">
        <f t="shared" si="20"/>
        <v>19992</v>
      </c>
      <c r="W148" s="2" t="s">
        <v>14</v>
      </c>
      <c r="X148">
        <f t="shared" si="21"/>
        <v>19992</v>
      </c>
      <c r="Y148">
        <f>_xlfn.XLOOKUP(O148,产品信息表!$A$4:$A$15,产品信息表!$E$4:$E$15)</f>
        <v>1850</v>
      </c>
      <c r="Z148" s="31">
        <f t="shared" si="22"/>
        <v>0.25970388155262103</v>
      </c>
      <c r="AA148">
        <f t="shared" si="23"/>
        <v>12</v>
      </c>
    </row>
    <row r="149" spans="1:27" ht="14.5">
      <c r="A149" s="6" t="s">
        <v>286</v>
      </c>
      <c r="B149" s="7">
        <v>46199</v>
      </c>
      <c r="C149" s="3" t="str">
        <f t="shared" si="16"/>
        <v>2026-06-26</v>
      </c>
      <c r="D149" s="6" t="s">
        <v>152</v>
      </c>
      <c r="E149" s="2" t="str">
        <f>VLOOKUP(D149,客户信息表!A$3:H$23,2,0)</f>
        <v>厦门鹭岛文创</v>
      </c>
      <c r="F149" s="8" t="s">
        <v>153</v>
      </c>
      <c r="G149" s="4" t="str">
        <f>INDEX(客户信息表!$A$4:$H$23,MATCH(F149,客户信息表!$B$4:$B$23,0),1)</f>
        <v>KH018</v>
      </c>
      <c r="H149" s="4" t="str">
        <f>_xlfn.XLOOKUP(O149,产品信息表!$A$4:$A$15,产品信息表!$C$4:$C$15)</f>
        <v>软件服务</v>
      </c>
      <c r="I149" s="30">
        <f>DATE(MID(A149,4,4),MID(A149,8,2),MID(A149,10,2))</f>
        <v>46199</v>
      </c>
      <c r="J149" s="4" t="str">
        <f t="shared" si="17"/>
        <v>0143</v>
      </c>
      <c r="K149" s="4" t="str">
        <f>VLOOKUP(D149,客户信息表!$A$3:$H$23,5,0)</f>
        <v>C</v>
      </c>
      <c r="L149" s="6" t="s">
        <v>78</v>
      </c>
      <c r="M149" s="6" t="s">
        <v>25</v>
      </c>
      <c r="N149" s="2" t="str">
        <f t="shared" si="18"/>
        <v>华南</v>
      </c>
      <c r="O149" s="6" t="s">
        <v>57</v>
      </c>
      <c r="P149" s="8" t="s">
        <v>123</v>
      </c>
      <c r="Q149" s="9">
        <v>599</v>
      </c>
      <c r="R149" s="6">
        <v>32</v>
      </c>
      <c r="S149" s="2">
        <f t="shared" si="19"/>
        <v>32</v>
      </c>
      <c r="T149" s="2">
        <f>VLOOKUP(S149,折扣阶梯!$A$3:$C$7,2,TRUE)</f>
        <v>0.95</v>
      </c>
      <c r="U149" s="9">
        <v>19168</v>
      </c>
      <c r="V149" s="5">
        <f t="shared" si="20"/>
        <v>19168</v>
      </c>
      <c r="W149" s="6" t="s">
        <v>50</v>
      </c>
      <c r="X149">
        <f t="shared" si="21"/>
        <v>18209.599999999999</v>
      </c>
      <c r="Y149">
        <f>_xlfn.XLOOKUP(O149,产品信息表!$A$4:$A$15,产品信息表!$E$4:$E$15)</f>
        <v>250</v>
      </c>
      <c r="Z149" s="31">
        <f t="shared" si="22"/>
        <v>0.56067129426236706</v>
      </c>
      <c r="AA149">
        <f t="shared" si="23"/>
        <v>13</v>
      </c>
    </row>
    <row r="150" spans="1:27" ht="14.5">
      <c r="A150" s="2" t="s">
        <v>287</v>
      </c>
      <c r="B150" s="3">
        <v>46200</v>
      </c>
      <c r="C150" s="3" t="str">
        <f t="shared" si="16"/>
        <v>2026-06-27</v>
      </c>
      <c r="D150" s="2" t="s">
        <v>9</v>
      </c>
      <c r="E150" s="2" t="str">
        <f>VLOOKUP(D150,客户信息表!A$3:H$23,2,0)</f>
        <v>广州启航教育</v>
      </c>
      <c r="F150" s="4" t="s">
        <v>10</v>
      </c>
      <c r="G150" s="4" t="str">
        <f>INDEX(客户信息表!$A$4:$H$23,MATCH(F150,客户信息表!$B$4:$B$23,0),1)</f>
        <v>KH003</v>
      </c>
      <c r="H150" s="4" t="str">
        <f>_xlfn.XLOOKUP(O150,产品信息表!$A$4:$A$15,产品信息表!$C$4:$C$15)</f>
        <v>办公设备</v>
      </c>
      <c r="I150" s="30">
        <f>DATE(MID(A150,4,4),MID(A150,8,2),MID(A150,10,2))</f>
        <v>46200</v>
      </c>
      <c r="J150" s="4" t="str">
        <f t="shared" si="17"/>
        <v>0144</v>
      </c>
      <c r="K150" s="4" t="str">
        <f>VLOOKUP(D150,客户信息表!$A$3:$H$23,5,0)</f>
        <v>A</v>
      </c>
      <c r="L150" s="2" t="s">
        <v>78</v>
      </c>
      <c r="M150" s="2" t="s">
        <v>25</v>
      </c>
      <c r="N150" s="2" t="str">
        <f t="shared" si="18"/>
        <v>华南</v>
      </c>
      <c r="O150" s="2" t="s">
        <v>176</v>
      </c>
      <c r="P150" s="4" t="s">
        <v>177</v>
      </c>
      <c r="Q150" s="5">
        <v>3599</v>
      </c>
      <c r="R150" s="2">
        <v>4</v>
      </c>
      <c r="S150" s="2">
        <f t="shared" si="19"/>
        <v>4</v>
      </c>
      <c r="T150" s="2">
        <f>VLOOKUP(S150,折扣阶梯!$A$3:$C$7,2,TRUE)</f>
        <v>1</v>
      </c>
      <c r="U150" s="5">
        <v>14396</v>
      </c>
      <c r="V150" s="5">
        <f t="shared" si="20"/>
        <v>14396</v>
      </c>
      <c r="W150" s="2" t="s">
        <v>50</v>
      </c>
      <c r="X150">
        <f t="shared" si="21"/>
        <v>14396</v>
      </c>
      <c r="Y150">
        <f>_xlfn.XLOOKUP(O150,产品信息表!$A$4:$A$15,产品信息表!$E$4:$E$15)</f>
        <v>2700</v>
      </c>
      <c r="Z150" s="31">
        <f t="shared" si="22"/>
        <v>0.24979160878021672</v>
      </c>
      <c r="AA150">
        <f t="shared" si="23"/>
        <v>18</v>
      </c>
    </row>
    <row r="151" spans="1:27" ht="14.5">
      <c r="A151" s="6" t="s">
        <v>288</v>
      </c>
      <c r="B151" s="7">
        <v>46201</v>
      </c>
      <c r="C151" s="3" t="str">
        <f t="shared" si="16"/>
        <v>2026-06-28</v>
      </c>
      <c r="D151" s="6" t="s">
        <v>31</v>
      </c>
      <c r="E151" s="2" t="str">
        <f>VLOOKUP(D151,客户信息表!A$3:H$23,2,0)</f>
        <v>长沙麓山科技</v>
      </c>
      <c r="F151" s="8" t="s">
        <v>32</v>
      </c>
      <c r="G151" s="4" t="str">
        <f>INDEX(客户信息表!$A$4:$H$23,MATCH(F151,客户信息表!$B$4:$B$23,0),1)</f>
        <v>KH012</v>
      </c>
      <c r="H151" s="4" t="str">
        <f>_xlfn.XLOOKUP(O151,产品信息表!$A$4:$A$15,产品信息表!$C$4:$C$15)</f>
        <v>办公耗材</v>
      </c>
      <c r="I151" s="30">
        <f>DATE(MID(A151,4,4),MID(A151,8,2),MID(A151,10,2))</f>
        <v>46201</v>
      </c>
      <c r="J151" s="4" t="str">
        <f t="shared" si="17"/>
        <v>0145</v>
      </c>
      <c r="K151" s="4" t="str">
        <f>VLOOKUP(D151,客户信息表!$A$3:$H$23,5,0)</f>
        <v>B</v>
      </c>
      <c r="L151" s="6" t="s">
        <v>18</v>
      </c>
      <c r="M151" s="6" t="s">
        <v>289</v>
      </c>
      <c r="N151" s="2" t="str">
        <f t="shared" si="18"/>
        <v>华中</v>
      </c>
      <c r="O151" s="6" t="s">
        <v>39</v>
      </c>
      <c r="P151" s="8" t="s">
        <v>40</v>
      </c>
      <c r="Q151" s="9">
        <v>128</v>
      </c>
      <c r="R151" s="6">
        <v>43</v>
      </c>
      <c r="S151" s="2">
        <f t="shared" si="19"/>
        <v>43</v>
      </c>
      <c r="T151" s="2">
        <f>VLOOKUP(S151,折扣阶梯!$A$3:$C$7,2,TRUE)</f>
        <v>0.95</v>
      </c>
      <c r="U151" s="9">
        <v>5504</v>
      </c>
      <c r="V151" s="5">
        <f t="shared" si="20"/>
        <v>5504</v>
      </c>
      <c r="W151" s="6" t="s">
        <v>89</v>
      </c>
      <c r="X151">
        <f t="shared" si="21"/>
        <v>5228.8</v>
      </c>
      <c r="Y151">
        <f>_xlfn.XLOOKUP(O151,产品信息表!$A$4:$A$15,产品信息表!$E$4:$E$15)</f>
        <v>95</v>
      </c>
      <c r="Z151" s="31">
        <f t="shared" si="22"/>
        <v>0.21875000000000003</v>
      </c>
      <c r="AA151">
        <f t="shared" si="23"/>
        <v>35</v>
      </c>
    </row>
    <row r="152" spans="1:27" ht="14.5">
      <c r="A152" s="2" t="s">
        <v>290</v>
      </c>
      <c r="B152" s="2" t="s">
        <v>291</v>
      </c>
      <c r="C152" s="3" t="str">
        <f t="shared" si="16"/>
        <v>2026-06-29</v>
      </c>
      <c r="D152" s="2" t="s">
        <v>113</v>
      </c>
      <c r="E152" s="2" t="str">
        <f>VLOOKUP(D152,客户信息表!A$3:H$23,2,0)</f>
        <v>宁波海港实业</v>
      </c>
      <c r="F152" s="4" t="s">
        <v>114</v>
      </c>
      <c r="G152" s="4" t="str">
        <f>INDEX(客户信息表!$A$4:$H$23,MATCH(F152,客户信息表!$B$4:$B$23,0),1)</f>
        <v>KH014</v>
      </c>
      <c r="H152" s="4" t="str">
        <f>_xlfn.XLOOKUP(O152,产品信息表!$A$4:$A$15,产品信息表!$C$4:$C$15)</f>
        <v>办公设备</v>
      </c>
      <c r="I152" s="30">
        <f>DATE(MID(A152,4,4),MID(A152,8,2),MID(A152,10,2))</f>
        <v>46202</v>
      </c>
      <c r="J152" s="4" t="str">
        <f t="shared" si="17"/>
        <v>0146</v>
      </c>
      <c r="K152" s="4" t="str">
        <f>VLOOKUP(D152,客户信息表!$A$3:$H$23,5,0)</f>
        <v>B</v>
      </c>
      <c r="L152" s="2" t="s">
        <v>11</v>
      </c>
      <c r="M152" s="2" t="s">
        <v>19</v>
      </c>
      <c r="N152" s="2" t="str">
        <f t="shared" si="18"/>
        <v>华东</v>
      </c>
      <c r="O152" s="2" t="s">
        <v>26</v>
      </c>
      <c r="P152" s="4" t="s">
        <v>27</v>
      </c>
      <c r="Q152" s="5">
        <v>899</v>
      </c>
      <c r="R152" s="2">
        <v>4</v>
      </c>
      <c r="S152" s="2">
        <f t="shared" si="19"/>
        <v>4</v>
      </c>
      <c r="T152" s="2">
        <f>VLOOKUP(S152,折扣阶梯!$A$3:$C$7,2,TRUE)</f>
        <v>1</v>
      </c>
      <c r="U152" s="5">
        <v>3596</v>
      </c>
      <c r="V152" s="5">
        <f t="shared" si="20"/>
        <v>3596</v>
      </c>
      <c r="W152" s="2" t="s">
        <v>89</v>
      </c>
      <c r="X152">
        <f t="shared" si="21"/>
        <v>3596</v>
      </c>
      <c r="Y152">
        <f>_xlfn.XLOOKUP(O152,产品信息表!$A$4:$A$15,产品信息表!$E$4:$E$15)</f>
        <v>620</v>
      </c>
      <c r="Z152" s="31">
        <f t="shared" si="22"/>
        <v>0.31034482758620691</v>
      </c>
      <c r="AA152">
        <f t="shared" si="23"/>
        <v>40</v>
      </c>
    </row>
    <row r="153" spans="1:27" ht="14.5">
      <c r="A153" s="6" t="s">
        <v>292</v>
      </c>
      <c r="B153" s="7">
        <v>46203</v>
      </c>
      <c r="C153" s="3" t="str">
        <f t="shared" si="16"/>
        <v>2026-06-30</v>
      </c>
      <c r="D153" s="6" t="s">
        <v>98</v>
      </c>
      <c r="E153" s="2" t="str">
        <f>VLOOKUP(D153,客户信息表!A$3:H$23,2,0)</f>
        <v>苏州创智科技</v>
      </c>
      <c r="F153" s="8" t="s">
        <v>99</v>
      </c>
      <c r="G153" s="4" t="str">
        <f>INDEX(客户信息表!$A$4:$H$23,MATCH(F153,客户信息表!$B$4:$B$23,0),1)</f>
        <v>KH010</v>
      </c>
      <c r="H153" s="4" t="str">
        <f>_xlfn.XLOOKUP(O153,产品信息表!$A$4:$A$15,产品信息表!$C$4:$C$15)</f>
        <v>电子数码</v>
      </c>
      <c r="I153" s="30">
        <f>DATE(MID(A153,4,4),MID(A153,8,2),MID(A153,10,2))</f>
        <v>46203</v>
      </c>
      <c r="J153" s="4" t="str">
        <f t="shared" si="17"/>
        <v>0147</v>
      </c>
      <c r="K153" s="4" t="str">
        <f>VLOOKUP(D153,客户信息表!$A$3:$H$23,5,0)</f>
        <v>A</v>
      </c>
      <c r="L153" s="6" t="s">
        <v>11</v>
      </c>
      <c r="M153" s="6" t="s">
        <v>19</v>
      </c>
      <c r="N153" s="2" t="str">
        <f t="shared" si="18"/>
        <v>华东</v>
      </c>
      <c r="O153" s="6" t="s">
        <v>91</v>
      </c>
      <c r="P153" s="8" t="s">
        <v>102</v>
      </c>
      <c r="Q153" s="9">
        <v>5699</v>
      </c>
      <c r="R153" s="6">
        <v>7</v>
      </c>
      <c r="S153" s="2">
        <f t="shared" si="19"/>
        <v>7</v>
      </c>
      <c r="T153" s="2">
        <f>VLOOKUP(S153,折扣阶梯!$A$3:$C$7,2,TRUE)</f>
        <v>1</v>
      </c>
      <c r="U153" s="9">
        <v>39893</v>
      </c>
      <c r="V153" s="5">
        <f t="shared" si="20"/>
        <v>39893</v>
      </c>
      <c r="W153" s="6" t="s">
        <v>50</v>
      </c>
      <c r="X153">
        <f t="shared" si="21"/>
        <v>39893</v>
      </c>
      <c r="Y153">
        <f>_xlfn.XLOOKUP(O153,产品信息表!$A$4:$A$15,产品信息表!$E$4:$E$15)</f>
        <v>4800</v>
      </c>
      <c r="Z153" s="31">
        <f t="shared" si="22"/>
        <v>0.15774697315318478</v>
      </c>
      <c r="AA153">
        <f t="shared" si="23"/>
        <v>6</v>
      </c>
    </row>
    <row r="154" spans="1:27" ht="14.5">
      <c r="A154" s="2" t="s">
        <v>293</v>
      </c>
      <c r="B154" s="3">
        <v>46203</v>
      </c>
      <c r="C154" s="3" t="str">
        <f t="shared" si="16"/>
        <v>2026-06-30</v>
      </c>
      <c r="D154" s="2" t="s">
        <v>76</v>
      </c>
      <c r="E154" s="2" t="str">
        <f>VLOOKUP(D154,客户信息表!A$3:H$23,2,0)</f>
        <v>北京华信科技</v>
      </c>
      <c r="F154" s="4" t="s">
        <v>77</v>
      </c>
      <c r="G154" s="4" t="str">
        <f>INDEX(客户信息表!$A$4:$H$23,MATCH(F154,客户信息表!$B$4:$B$23,0),1)</f>
        <v>KH001</v>
      </c>
      <c r="H154" s="4" t="str">
        <f>_xlfn.XLOOKUP(O154,产品信息表!$A$4:$A$15,产品信息表!$C$4:$C$15)</f>
        <v>电子数码</v>
      </c>
      <c r="I154" s="30">
        <f>DATE(MID(A154,4,4),MID(A154,8,2),MID(A154,10,2))</f>
        <v>46203</v>
      </c>
      <c r="J154" s="4" t="str">
        <f t="shared" si="17"/>
        <v>0148</v>
      </c>
      <c r="K154" s="4" t="str">
        <f>VLOOKUP(D154,客户信息表!$A$3:$H$23,5,0)</f>
        <v>A</v>
      </c>
      <c r="L154" s="2" t="s">
        <v>18</v>
      </c>
      <c r="M154" s="2" t="s">
        <v>38</v>
      </c>
      <c r="N154" s="2" t="str">
        <f t="shared" si="18"/>
        <v>华北</v>
      </c>
      <c r="O154" s="2" t="s">
        <v>20</v>
      </c>
      <c r="P154" s="4" t="s">
        <v>21</v>
      </c>
      <c r="Q154" s="5">
        <v>299</v>
      </c>
      <c r="R154" s="2">
        <v>9</v>
      </c>
      <c r="S154" s="2">
        <f t="shared" si="19"/>
        <v>9</v>
      </c>
      <c r="T154" s="2">
        <f>VLOOKUP(S154,折扣阶梯!$A$3:$C$7,2,TRUE)</f>
        <v>1</v>
      </c>
      <c r="U154" s="10" t="s">
        <v>100</v>
      </c>
      <c r="V154" s="5">
        <f t="shared" si="20"/>
        <v>2691</v>
      </c>
      <c r="W154" s="2" t="s">
        <v>50</v>
      </c>
      <c r="X154">
        <f t="shared" si="21"/>
        <v>2691</v>
      </c>
      <c r="Y154">
        <f>_xlfn.XLOOKUP(O154,产品信息表!$A$4:$A$15,产品信息表!$E$4:$E$15)</f>
        <v>190</v>
      </c>
      <c r="Z154" s="31">
        <f t="shared" si="22"/>
        <v>0.36454849498327757</v>
      </c>
      <c r="AA154">
        <f t="shared" si="23"/>
        <v>45</v>
      </c>
    </row>
    <row r="155" spans="1:27" ht="14.5">
      <c r="A155" s="6" t="s">
        <v>294</v>
      </c>
      <c r="B155" s="7">
        <v>46204</v>
      </c>
      <c r="C155" s="3" t="str">
        <f t="shared" si="16"/>
        <v>2026-07-01</v>
      </c>
      <c r="D155" s="6" t="s">
        <v>31</v>
      </c>
      <c r="E155" s="2" t="str">
        <f>VLOOKUP(D155,客户信息表!A$3:H$23,2,0)</f>
        <v>长沙麓山科技</v>
      </c>
      <c r="F155" s="8" t="s">
        <v>32</v>
      </c>
      <c r="G155" s="4" t="str">
        <f>INDEX(客户信息表!$A$4:$H$23,MATCH(F155,客户信息表!$B$4:$B$23,0),1)</f>
        <v>KH012</v>
      </c>
      <c r="H155" s="4" t="str">
        <f>_xlfn.XLOOKUP(O155,产品信息表!$A$4:$A$15,产品信息表!$C$4:$C$15)</f>
        <v>办公设备</v>
      </c>
      <c r="I155" s="30">
        <f>DATE(MID(A155,4,4),MID(A155,8,2),MID(A155,10,2))</f>
        <v>46204</v>
      </c>
      <c r="J155" s="4" t="str">
        <f t="shared" si="17"/>
        <v>0149</v>
      </c>
      <c r="K155" s="4" t="str">
        <f>VLOOKUP(D155,客户信息表!$A$3:$H$23,5,0)</f>
        <v>B</v>
      </c>
      <c r="L155" s="6" t="s">
        <v>67</v>
      </c>
      <c r="M155" s="6" t="s">
        <v>45</v>
      </c>
      <c r="N155" s="2" t="str">
        <f t="shared" si="18"/>
        <v>华中</v>
      </c>
      <c r="O155" s="6" t="s">
        <v>26</v>
      </c>
      <c r="P155" s="8" t="s">
        <v>27</v>
      </c>
      <c r="Q155" s="9">
        <v>899</v>
      </c>
      <c r="R155" s="6">
        <v>3</v>
      </c>
      <c r="S155" s="2">
        <f t="shared" si="19"/>
        <v>3</v>
      </c>
      <c r="T155" s="2">
        <f>VLOOKUP(S155,折扣阶梯!$A$3:$C$7,2,TRUE)</f>
        <v>1</v>
      </c>
      <c r="U155" s="9">
        <v>2697</v>
      </c>
      <c r="V155" s="5">
        <f t="shared" si="20"/>
        <v>2697</v>
      </c>
      <c r="W155" s="6" t="s">
        <v>50</v>
      </c>
      <c r="X155">
        <f t="shared" si="21"/>
        <v>2697</v>
      </c>
      <c r="Y155">
        <f>_xlfn.XLOOKUP(O155,产品信息表!$A$4:$A$15,产品信息表!$E$4:$E$15)</f>
        <v>620</v>
      </c>
      <c r="Z155" s="31">
        <f t="shared" si="22"/>
        <v>0.31034482758620691</v>
      </c>
      <c r="AA155">
        <f t="shared" si="23"/>
        <v>44</v>
      </c>
    </row>
    <row r="156" spans="1:27" ht="14.5">
      <c r="A156" s="2" t="s">
        <v>295</v>
      </c>
      <c r="B156" s="2" t="s">
        <v>296</v>
      </c>
      <c r="C156" s="3" t="str">
        <f t="shared" si="16"/>
        <v>2026-07-02</v>
      </c>
      <c r="D156" s="2" t="s">
        <v>71</v>
      </c>
      <c r="E156" s="2" t="str">
        <f>VLOOKUP(D156,客户信息表!A$3:H$23,2,0)</f>
        <v>成都天府商贸</v>
      </c>
      <c r="F156" s="4" t="s">
        <v>72</v>
      </c>
      <c r="G156" s="4" t="str">
        <f>INDEX(客户信息表!$A$4:$H$23,MATCH(F156,客户信息表!$B$4:$B$23,0),1)</f>
        <v>KH006</v>
      </c>
      <c r="H156" s="4" t="str">
        <f>_xlfn.XLOOKUP(O156,产品信息表!$A$4:$A$15,产品信息表!$C$4:$C$15)</f>
        <v>电子数码</v>
      </c>
      <c r="I156" s="30">
        <f>DATE(MID(A156,4,4),MID(A156,8,2),MID(A156,10,2))</f>
        <v>46205</v>
      </c>
      <c r="J156" s="4" t="str">
        <f t="shared" si="17"/>
        <v>0150</v>
      </c>
      <c r="K156" s="4" t="str">
        <f>VLOOKUP(D156,客户信息表!$A$3:$H$23,5,0)</f>
        <v>C</v>
      </c>
      <c r="L156" s="2" t="s">
        <v>37</v>
      </c>
      <c r="M156" s="2" t="s">
        <v>86</v>
      </c>
      <c r="N156" s="2" t="str">
        <f t="shared" si="18"/>
        <v>西南</v>
      </c>
      <c r="O156" s="2" t="s">
        <v>192</v>
      </c>
      <c r="P156" s="4" t="s">
        <v>193</v>
      </c>
      <c r="Q156" s="5">
        <v>4299</v>
      </c>
      <c r="R156" s="2">
        <v>11</v>
      </c>
      <c r="S156" s="2">
        <f t="shared" si="19"/>
        <v>11</v>
      </c>
      <c r="T156" s="2">
        <f>VLOOKUP(S156,折扣阶梯!$A$3:$C$7,2,TRUE)</f>
        <v>0.95</v>
      </c>
      <c r="U156" s="5">
        <v>47289</v>
      </c>
      <c r="V156" s="5">
        <f t="shared" si="20"/>
        <v>47289</v>
      </c>
      <c r="W156" s="2" t="s">
        <v>50</v>
      </c>
      <c r="X156">
        <f t="shared" si="21"/>
        <v>44924.549999999996</v>
      </c>
      <c r="Y156">
        <f>_xlfn.XLOOKUP(O156,产品信息表!$A$4:$A$15,产品信息表!$E$4:$E$15)</f>
        <v>3500</v>
      </c>
      <c r="Z156" s="31">
        <f t="shared" si="22"/>
        <v>0.14300755377627591</v>
      </c>
      <c r="AA156">
        <f t="shared" si="23"/>
        <v>4</v>
      </c>
    </row>
    <row r="157" spans="1:27" ht="14.5">
      <c r="A157" s="6" t="s">
        <v>297</v>
      </c>
      <c r="B157" s="7">
        <v>46206</v>
      </c>
      <c r="C157" s="3" t="str">
        <f t="shared" si="16"/>
        <v>2026-07-03</v>
      </c>
      <c r="D157" s="6" t="s">
        <v>76</v>
      </c>
      <c r="E157" s="2" t="str">
        <f>VLOOKUP(D157,客户信息表!A$3:H$23,2,0)</f>
        <v>北京华信科技</v>
      </c>
      <c r="F157" s="8" t="s">
        <v>77</v>
      </c>
      <c r="G157" s="4" t="str">
        <f>INDEX(客户信息表!$A$4:$H$23,MATCH(F157,客户信息表!$B$4:$B$23,0),1)</f>
        <v>KH001</v>
      </c>
      <c r="H157" s="4" t="str">
        <f>_xlfn.XLOOKUP(O157,产品信息表!$A$4:$A$15,产品信息表!$C$4:$C$15)</f>
        <v>办公设备</v>
      </c>
      <c r="I157" s="30">
        <f>DATE(MID(A157,4,4),MID(A157,8,2),MID(A157,10,2))</f>
        <v>46206</v>
      </c>
      <c r="J157" s="4" t="str">
        <f t="shared" si="17"/>
        <v>0151</v>
      </c>
      <c r="K157" s="4" t="str">
        <f>VLOOKUP(D157,客户信息表!$A$3:$H$23,5,0)</f>
        <v>A</v>
      </c>
      <c r="L157" s="6" t="s">
        <v>67</v>
      </c>
      <c r="M157" s="6" t="s">
        <v>38</v>
      </c>
      <c r="N157" s="2" t="str">
        <f t="shared" si="18"/>
        <v>华北</v>
      </c>
      <c r="O157" s="6" t="s">
        <v>176</v>
      </c>
      <c r="P157" s="8" t="s">
        <v>177</v>
      </c>
      <c r="Q157" s="9">
        <v>3599</v>
      </c>
      <c r="R157" s="6">
        <v>3</v>
      </c>
      <c r="S157" s="2">
        <f t="shared" si="19"/>
        <v>3</v>
      </c>
      <c r="T157" s="2">
        <f>VLOOKUP(S157,折扣阶梯!$A$3:$C$7,2,TRUE)</f>
        <v>1</v>
      </c>
      <c r="U157" s="9">
        <v>10797</v>
      </c>
      <c r="V157" s="5">
        <f t="shared" si="20"/>
        <v>10797</v>
      </c>
      <c r="W157" s="6" t="s">
        <v>89</v>
      </c>
      <c r="X157">
        <f t="shared" si="21"/>
        <v>10797</v>
      </c>
      <c r="Y157">
        <f>_xlfn.XLOOKUP(O157,产品信息表!$A$4:$A$15,产品信息表!$E$4:$E$15)</f>
        <v>2700</v>
      </c>
      <c r="Z157" s="31">
        <f t="shared" si="22"/>
        <v>0.24979160878021672</v>
      </c>
      <c r="AA157">
        <f t="shared" si="23"/>
        <v>21</v>
      </c>
    </row>
    <row r="158" spans="1:27" ht="14.5">
      <c r="A158" s="6" t="s">
        <v>298</v>
      </c>
      <c r="B158" s="7">
        <v>46206</v>
      </c>
      <c r="C158" s="3" t="str">
        <f t="shared" si="16"/>
        <v>2026-07-03</v>
      </c>
      <c r="D158" s="6" t="s">
        <v>98</v>
      </c>
      <c r="E158" s="2" t="str">
        <f>VLOOKUP(D158,客户信息表!A$3:H$23,2,0)</f>
        <v>苏州创智科技</v>
      </c>
      <c r="F158" s="8" t="s">
        <v>99</v>
      </c>
      <c r="G158" s="4" t="str">
        <f>INDEX(客户信息表!$A$4:$H$23,MATCH(F158,客户信息表!$B$4:$B$23,0),1)</f>
        <v>KH010</v>
      </c>
      <c r="H158" s="4" t="str">
        <f>_xlfn.XLOOKUP(O158,产品信息表!$A$4:$A$15,产品信息表!$C$4:$C$15)</f>
        <v>办公设备</v>
      </c>
      <c r="I158" s="30">
        <f>DATE(MID(A158,4,4),MID(A158,8,2),MID(A158,10,2))</f>
        <v>46206</v>
      </c>
      <c r="J158" s="4" t="str">
        <f t="shared" si="17"/>
        <v>0153</v>
      </c>
      <c r="K158" s="4" t="str">
        <f>VLOOKUP(D158,客户信息表!$A$3:$H$23,5,0)</f>
        <v>A</v>
      </c>
      <c r="L158" s="6" t="s">
        <v>18</v>
      </c>
      <c r="M158" s="6" t="s">
        <v>19</v>
      </c>
      <c r="N158" s="2" t="str">
        <f t="shared" si="18"/>
        <v>华东</v>
      </c>
      <c r="O158" s="6" t="s">
        <v>26</v>
      </c>
      <c r="P158" s="8" t="s">
        <v>27</v>
      </c>
      <c r="Q158" s="9">
        <v>899</v>
      </c>
      <c r="R158" s="6">
        <v>7</v>
      </c>
      <c r="S158" s="2">
        <f t="shared" si="19"/>
        <v>7</v>
      </c>
      <c r="T158" s="2">
        <f>VLOOKUP(S158,折扣阶梯!$A$3:$C$7,2,TRUE)</f>
        <v>1</v>
      </c>
      <c r="U158" s="9">
        <v>6293</v>
      </c>
      <c r="V158" s="5">
        <f t="shared" si="20"/>
        <v>6293</v>
      </c>
      <c r="W158" s="6" t="s">
        <v>14</v>
      </c>
      <c r="X158">
        <f t="shared" si="21"/>
        <v>6293</v>
      </c>
      <c r="Y158">
        <f>_xlfn.XLOOKUP(O158,产品信息表!$A$4:$A$15,产品信息表!$E$4:$E$15)</f>
        <v>620</v>
      </c>
      <c r="Z158" s="31">
        <f t="shared" si="22"/>
        <v>0.31034482758620691</v>
      </c>
      <c r="AA158">
        <f t="shared" si="23"/>
        <v>29</v>
      </c>
    </row>
    <row r="159" spans="1:27" ht="14.5">
      <c r="A159" s="2" t="s">
        <v>299</v>
      </c>
      <c r="B159" s="3">
        <v>46208</v>
      </c>
      <c r="C159" s="3" t="str">
        <f t="shared" si="16"/>
        <v>2026-07-05</v>
      </c>
      <c r="D159" s="2" t="s">
        <v>98</v>
      </c>
      <c r="E159" s="2" t="str">
        <f>VLOOKUP(D159,客户信息表!A$3:H$23,2,0)</f>
        <v>苏州创智科技</v>
      </c>
      <c r="F159" s="4" t="s">
        <v>99</v>
      </c>
      <c r="G159" s="4" t="str">
        <f>INDEX(客户信息表!$A$4:$H$23,MATCH(F159,客户信息表!$B$4:$B$23,0),1)</f>
        <v>KH010</v>
      </c>
      <c r="H159" s="4" t="str">
        <f>_xlfn.XLOOKUP(O159,产品信息表!$A$4:$A$15,产品信息表!$C$4:$C$15)</f>
        <v>电子数码</v>
      </c>
      <c r="I159" s="30">
        <f>DATE(MID(A159,4,4),MID(A159,8,2),MID(A159,10,2))</f>
        <v>46208</v>
      </c>
      <c r="J159" s="4" t="str">
        <f t="shared" si="17"/>
        <v>0154</v>
      </c>
      <c r="K159" s="4" t="str">
        <f>VLOOKUP(D159,客户信息表!$A$3:$H$23,5,0)</f>
        <v>A</v>
      </c>
      <c r="L159" s="2" t="s">
        <v>55</v>
      </c>
      <c r="M159" s="2" t="s">
        <v>19</v>
      </c>
      <c r="N159" s="2" t="str">
        <f t="shared" si="18"/>
        <v>华东</v>
      </c>
      <c r="O159" s="2" t="s">
        <v>20</v>
      </c>
      <c r="P159" s="4" t="s">
        <v>21</v>
      </c>
      <c r="Q159" s="5">
        <v>299</v>
      </c>
      <c r="R159" s="2">
        <v>10</v>
      </c>
      <c r="S159" s="2">
        <f t="shared" si="19"/>
        <v>10</v>
      </c>
      <c r="T159" s="2">
        <f>VLOOKUP(S159,折扣阶梯!$A$3:$C$7,2,TRUE)</f>
        <v>0.95</v>
      </c>
      <c r="U159" s="5">
        <v>2990</v>
      </c>
      <c r="V159" s="5">
        <f t="shared" si="20"/>
        <v>2990</v>
      </c>
      <c r="W159" s="2" t="s">
        <v>50</v>
      </c>
      <c r="X159">
        <f t="shared" si="21"/>
        <v>2840.5</v>
      </c>
      <c r="Y159">
        <f>_xlfn.XLOOKUP(O159,产品信息表!$A$4:$A$15,产品信息表!$E$4:$E$15)</f>
        <v>190</v>
      </c>
      <c r="Z159" s="31">
        <f t="shared" si="22"/>
        <v>0.33110367892976589</v>
      </c>
      <c r="AA159">
        <f t="shared" si="23"/>
        <v>38</v>
      </c>
    </row>
    <row r="160" spans="1:27" ht="14.5">
      <c r="A160" s="6" t="s">
        <v>300</v>
      </c>
      <c r="B160" s="7">
        <v>46209</v>
      </c>
      <c r="C160" s="3" t="str">
        <f t="shared" si="16"/>
        <v>2026-07-06</v>
      </c>
      <c r="D160" s="6" t="s">
        <v>71</v>
      </c>
      <c r="E160" s="2" t="str">
        <f>VLOOKUP(D160,客户信息表!A$3:H$23,2,0)</f>
        <v>成都天府商贸</v>
      </c>
      <c r="F160" s="8" t="s">
        <v>72</v>
      </c>
      <c r="G160" s="4" t="str">
        <f>INDEX(客户信息表!$A$4:$H$23,MATCH(F160,客户信息表!$B$4:$B$23,0),1)</f>
        <v>KH006</v>
      </c>
      <c r="H160" s="4" t="str">
        <f>_xlfn.XLOOKUP(O160,产品信息表!$A$4:$A$15,产品信息表!$C$4:$C$15)</f>
        <v>办公耗材</v>
      </c>
      <c r="I160" s="30">
        <f>DATE(MID(A160,4,4),MID(A160,8,2),MID(A160,10,2))</f>
        <v>46209</v>
      </c>
      <c r="J160" s="4" t="str">
        <f t="shared" si="17"/>
        <v>0155</v>
      </c>
      <c r="K160" s="4" t="str">
        <f>VLOOKUP(D160,客户信息表!$A$3:$H$23,5,0)</f>
        <v>C</v>
      </c>
      <c r="L160" s="6" t="s">
        <v>78</v>
      </c>
      <c r="M160" s="6" t="s">
        <v>86</v>
      </c>
      <c r="N160" s="2" t="str">
        <f t="shared" si="18"/>
        <v>西南</v>
      </c>
      <c r="O160" s="6" t="s">
        <v>48</v>
      </c>
      <c r="P160" s="8" t="s">
        <v>49</v>
      </c>
      <c r="Q160" s="9">
        <v>45</v>
      </c>
      <c r="R160" s="6" t="s">
        <v>301</v>
      </c>
      <c r="S160" s="2">
        <f t="shared" si="19"/>
        <v>85</v>
      </c>
      <c r="T160" s="2">
        <f>VLOOKUP(S160,折扣阶梯!$A$3:$C$7,2,TRUE)</f>
        <v>0.9</v>
      </c>
      <c r="U160" s="9">
        <v>3825</v>
      </c>
      <c r="V160" s="5">
        <f t="shared" si="20"/>
        <v>3825</v>
      </c>
      <c r="W160" s="6" t="s">
        <v>22</v>
      </c>
      <c r="X160">
        <f t="shared" si="21"/>
        <v>3442.5</v>
      </c>
      <c r="Y160">
        <f>_xlfn.XLOOKUP(O160,产品信息表!$A$4:$A$15,产品信息表!$E$4:$E$15)</f>
        <v>28</v>
      </c>
      <c r="Z160" s="31">
        <f t="shared" si="22"/>
        <v>0.30864197530864196</v>
      </c>
      <c r="AA160">
        <f t="shared" si="23"/>
        <v>35</v>
      </c>
    </row>
    <row r="161" spans="1:27" ht="14.5">
      <c r="A161" s="2" t="s">
        <v>302</v>
      </c>
      <c r="B161" s="2" t="s">
        <v>303</v>
      </c>
      <c r="C161" s="3" t="str">
        <f t="shared" si="16"/>
        <v>2026-07-07</v>
      </c>
      <c r="D161" s="2" t="s">
        <v>149</v>
      </c>
      <c r="E161" s="2" t="str">
        <f>VLOOKUP(D161,客户信息表!A$3:H$23,2,0)</f>
        <v>深圳蓝鲸网络</v>
      </c>
      <c r="F161" s="4" t="s">
        <v>150</v>
      </c>
      <c r="G161" s="4" t="str">
        <f>INDEX(客户信息表!$A$4:$H$23,MATCH(F161,客户信息表!$B$4:$B$23,0),1)</f>
        <v>KH004</v>
      </c>
      <c r="H161" s="4" t="str">
        <f>_xlfn.XLOOKUP(O161,产品信息表!$A$4:$A$15,产品信息表!$C$4:$C$15)</f>
        <v>电子数码</v>
      </c>
      <c r="I161" s="30">
        <f>DATE(MID(A161,4,4),MID(A161,8,2),MID(A161,10,2))</f>
        <v>46210</v>
      </c>
      <c r="J161" s="4" t="str">
        <f t="shared" si="17"/>
        <v>0156</v>
      </c>
      <c r="K161" s="4" t="str">
        <f>VLOOKUP(D161,客户信息表!$A$3:$H$23,5,0)</f>
        <v>B</v>
      </c>
      <c r="L161" s="2" t="s">
        <v>24</v>
      </c>
      <c r="M161" s="2" t="s">
        <v>25</v>
      </c>
      <c r="N161" s="2" t="str">
        <f t="shared" si="18"/>
        <v>华南</v>
      </c>
      <c r="O161" s="2" t="s">
        <v>62</v>
      </c>
      <c r="P161" s="4" t="s">
        <v>63</v>
      </c>
      <c r="Q161" s="5">
        <v>1299</v>
      </c>
      <c r="R161" s="2">
        <v>4</v>
      </c>
      <c r="S161" s="2">
        <f t="shared" si="19"/>
        <v>4</v>
      </c>
      <c r="T161" s="2">
        <f>VLOOKUP(S161,折扣阶梯!$A$3:$C$7,2,TRUE)</f>
        <v>1</v>
      </c>
      <c r="U161" s="5">
        <v>5196</v>
      </c>
      <c r="V161" s="5">
        <f t="shared" si="20"/>
        <v>5196</v>
      </c>
      <c r="W161" s="2" t="s">
        <v>22</v>
      </c>
      <c r="X161">
        <f t="shared" si="21"/>
        <v>5196</v>
      </c>
      <c r="Y161">
        <f>_xlfn.XLOOKUP(O161,产品信息表!$A$4:$A$15,产品信息表!$E$4:$E$15)</f>
        <v>950</v>
      </c>
      <c r="Z161" s="31">
        <f t="shared" si="22"/>
        <v>0.26866820631254812</v>
      </c>
      <c r="AA161">
        <f t="shared" si="23"/>
        <v>32</v>
      </c>
    </row>
    <row r="162" spans="1:27" ht="14.5">
      <c r="A162" s="6" t="s">
        <v>304</v>
      </c>
      <c r="B162" s="6" t="s">
        <v>305</v>
      </c>
      <c r="C162" s="3" t="str">
        <f t="shared" si="16"/>
        <v>2026-07-10</v>
      </c>
      <c r="D162" s="6" t="s">
        <v>65</v>
      </c>
      <c r="E162" s="2" t="str">
        <f>VLOOKUP(D162,客户信息表!A$3:H$23,2,0)</f>
        <v>重庆山城办公设备</v>
      </c>
      <c r="F162" s="8" t="s">
        <v>66</v>
      </c>
      <c r="G162" s="4" t="str">
        <f>INDEX(客户信息表!$A$4:$H$23,MATCH(F162,客户信息表!$B$4:$B$23,0),1)</f>
        <v>KH011</v>
      </c>
      <c r="H162" s="4" t="str">
        <f>_xlfn.XLOOKUP(O162,产品信息表!$A$4:$A$15,产品信息表!$C$4:$C$15)</f>
        <v>软件服务</v>
      </c>
      <c r="I162" s="30">
        <f>DATE(MID(A162,4,4),MID(A162,8,2),MID(A162,10,2))</f>
        <v>46213</v>
      </c>
      <c r="J162" s="4" t="str">
        <f t="shared" si="17"/>
        <v>0157</v>
      </c>
      <c r="K162" s="4" t="str">
        <f>VLOOKUP(D162,客户信息表!$A$3:$H$23,5,0)</f>
        <v>B</v>
      </c>
      <c r="L162" s="6" t="s">
        <v>24</v>
      </c>
      <c r="M162" s="6" t="s">
        <v>306</v>
      </c>
      <c r="N162" s="2" t="str">
        <f t="shared" si="18"/>
        <v>西南</v>
      </c>
      <c r="O162" s="6" t="s">
        <v>57</v>
      </c>
      <c r="P162" s="8" t="s">
        <v>123</v>
      </c>
      <c r="Q162" s="9">
        <v>599</v>
      </c>
      <c r="R162" s="6">
        <v>13</v>
      </c>
      <c r="S162" s="2">
        <f t="shared" si="19"/>
        <v>13</v>
      </c>
      <c r="T162" s="2">
        <f>VLOOKUP(S162,折扣阶梯!$A$3:$C$7,2,TRUE)</f>
        <v>0.95</v>
      </c>
      <c r="U162" s="9">
        <v>7787</v>
      </c>
      <c r="V162" s="5">
        <f t="shared" si="20"/>
        <v>7787</v>
      </c>
      <c r="W162" s="6" t="s">
        <v>22</v>
      </c>
      <c r="X162">
        <f t="shared" si="21"/>
        <v>7397.65</v>
      </c>
      <c r="Y162">
        <f>_xlfn.XLOOKUP(O162,产品信息表!$A$4:$A$15,产品信息表!$E$4:$E$15)</f>
        <v>250</v>
      </c>
      <c r="Z162" s="31">
        <f t="shared" si="22"/>
        <v>0.56067129426236706</v>
      </c>
      <c r="AA162">
        <f t="shared" si="23"/>
        <v>24</v>
      </c>
    </row>
    <row r="163" spans="1:27" ht="14.5">
      <c r="A163" s="2" t="s">
        <v>307</v>
      </c>
      <c r="B163" s="3">
        <v>46215</v>
      </c>
      <c r="C163" s="3" t="str">
        <f t="shared" si="16"/>
        <v>2026-07-12</v>
      </c>
      <c r="D163" s="2" t="s">
        <v>76</v>
      </c>
      <c r="E163" s="2" t="str">
        <f>VLOOKUP(D163,客户信息表!A$3:H$23,2,0)</f>
        <v>北京华信科技</v>
      </c>
      <c r="F163" s="4" t="s">
        <v>77</v>
      </c>
      <c r="G163" s="4" t="str">
        <f>INDEX(客户信息表!$A$4:$H$23,MATCH(F163,客户信息表!$B$4:$B$23,0),1)</f>
        <v>KH001</v>
      </c>
      <c r="H163" s="4" t="str">
        <f>_xlfn.XLOOKUP(O163,产品信息表!$A$4:$A$15,产品信息表!$C$4:$C$15)</f>
        <v>办公设备</v>
      </c>
      <c r="I163" s="30">
        <f>DATE(MID(A163,4,4),MID(A163,8,2),MID(A163,10,2))</f>
        <v>46215</v>
      </c>
      <c r="J163" s="4" t="str">
        <f t="shared" si="17"/>
        <v>0158</v>
      </c>
      <c r="K163" s="4" t="str">
        <f>VLOOKUP(D163,客户信息表!$A$3:$H$23,5,0)</f>
        <v>A</v>
      </c>
      <c r="L163" s="2" t="s">
        <v>11</v>
      </c>
      <c r="M163" s="2" t="s">
        <v>109</v>
      </c>
      <c r="N163" s="2" t="str">
        <f t="shared" si="18"/>
        <v>华北</v>
      </c>
      <c r="O163" s="2" t="s">
        <v>81</v>
      </c>
      <c r="P163" s="4" t="s">
        <v>82</v>
      </c>
      <c r="Q163" s="5">
        <v>2499</v>
      </c>
      <c r="R163" s="2">
        <v>3</v>
      </c>
      <c r="S163" s="2">
        <f t="shared" si="19"/>
        <v>3</v>
      </c>
      <c r="T163" s="2">
        <f>VLOOKUP(S163,折扣阶梯!$A$3:$C$7,2,TRUE)</f>
        <v>1</v>
      </c>
      <c r="U163" s="5">
        <v>7122.15</v>
      </c>
      <c r="V163" s="5">
        <f t="shared" si="20"/>
        <v>7497</v>
      </c>
      <c r="W163" s="2" t="s">
        <v>22</v>
      </c>
      <c r="X163">
        <f t="shared" si="21"/>
        <v>7497</v>
      </c>
      <c r="Y163">
        <f>_xlfn.XLOOKUP(O163,产品信息表!$A$4:$A$15,产品信息表!$E$4:$E$15)</f>
        <v>1850</v>
      </c>
      <c r="Z163" s="31">
        <f t="shared" si="22"/>
        <v>0.25970388155262103</v>
      </c>
      <c r="AA163">
        <f t="shared" si="23"/>
        <v>24</v>
      </c>
    </row>
    <row r="164" spans="1:27" ht="14.5">
      <c r="A164" s="6" t="s">
        <v>308</v>
      </c>
      <c r="B164" s="7">
        <v>46215</v>
      </c>
      <c r="C164" s="3" t="str">
        <f t="shared" si="16"/>
        <v>2026-07-12</v>
      </c>
      <c r="D164" s="6" t="s">
        <v>149</v>
      </c>
      <c r="E164" s="2" t="str">
        <f>VLOOKUP(D164,客户信息表!A$3:H$23,2,0)</f>
        <v>深圳蓝鲸网络</v>
      </c>
      <c r="F164" s="8" t="s">
        <v>150</v>
      </c>
      <c r="G164" s="4" t="str">
        <f>INDEX(客户信息表!$A$4:$H$23,MATCH(F164,客户信息表!$B$4:$B$23,0),1)</f>
        <v>KH004</v>
      </c>
      <c r="H164" s="4" t="str">
        <f>_xlfn.XLOOKUP(O164,产品信息表!$A$4:$A$15,产品信息表!$C$4:$C$15)</f>
        <v>办公耗材</v>
      </c>
      <c r="I164" s="30">
        <f>DATE(MID(A164,4,4),MID(A164,8,2),MID(A164,10,2))</f>
        <v>46215</v>
      </c>
      <c r="J164" s="4" t="str">
        <f t="shared" si="17"/>
        <v>0159</v>
      </c>
      <c r="K164" s="4" t="str">
        <f>VLOOKUP(D164,客户信息表!$A$3:$H$23,5,0)</f>
        <v>B</v>
      </c>
      <c r="L164" s="6" t="s">
        <v>11</v>
      </c>
      <c r="M164" s="6" t="s">
        <v>154</v>
      </c>
      <c r="N164" s="2" t="str">
        <f t="shared" si="18"/>
        <v>华南</v>
      </c>
      <c r="O164" s="6" t="s">
        <v>39</v>
      </c>
      <c r="P164" s="8" t="s">
        <v>40</v>
      </c>
      <c r="Q164" s="9">
        <v>128</v>
      </c>
      <c r="R164" s="6">
        <v>30</v>
      </c>
      <c r="S164" s="2">
        <f t="shared" si="19"/>
        <v>30</v>
      </c>
      <c r="T164" s="2">
        <f>VLOOKUP(S164,折扣阶梯!$A$3:$C$7,2,TRUE)</f>
        <v>0.95</v>
      </c>
      <c r="U164" s="9">
        <v>3840</v>
      </c>
      <c r="V164" s="5">
        <f t="shared" si="20"/>
        <v>3840</v>
      </c>
      <c r="W164" s="6" t="s">
        <v>50</v>
      </c>
      <c r="X164">
        <f t="shared" si="21"/>
        <v>3648</v>
      </c>
      <c r="Y164">
        <f>_xlfn.XLOOKUP(O164,产品信息表!$A$4:$A$15,产品信息表!$E$4:$E$15)</f>
        <v>95</v>
      </c>
      <c r="Z164" s="31">
        <f t="shared" si="22"/>
        <v>0.21875</v>
      </c>
      <c r="AA164">
        <f t="shared" si="23"/>
        <v>31</v>
      </c>
    </row>
    <row r="165" spans="1:27" ht="14.5">
      <c r="A165" s="2" t="s">
        <v>309</v>
      </c>
      <c r="B165" s="3">
        <v>46219</v>
      </c>
      <c r="C165" s="3" t="str">
        <f t="shared" si="16"/>
        <v>2026-07-16</v>
      </c>
      <c r="D165" s="2" t="s">
        <v>9</v>
      </c>
      <c r="E165" s="2" t="str">
        <f>VLOOKUP(D165,客户信息表!A$3:H$23,2,0)</f>
        <v>广州启航教育</v>
      </c>
      <c r="F165" s="4" t="s">
        <v>10</v>
      </c>
      <c r="G165" s="4" t="str">
        <f>INDEX(客户信息表!$A$4:$H$23,MATCH(F165,客户信息表!$B$4:$B$23,0),1)</f>
        <v>KH003</v>
      </c>
      <c r="H165" s="4" t="str">
        <f>_xlfn.XLOOKUP(O165,产品信息表!$A$4:$A$15,产品信息表!$C$4:$C$15)</f>
        <v>办公耗材</v>
      </c>
      <c r="I165" s="30">
        <f>DATE(MID(A165,4,4),MID(A165,8,2),MID(A165,10,2))</f>
        <v>46219</v>
      </c>
      <c r="J165" s="4" t="str">
        <f t="shared" si="17"/>
        <v>0160</v>
      </c>
      <c r="K165" s="4" t="str">
        <f>VLOOKUP(D165,客户信息表!$A$3:$H$23,5,0)</f>
        <v>A</v>
      </c>
      <c r="L165" s="2" t="s">
        <v>37</v>
      </c>
      <c r="M165" s="2" t="s">
        <v>154</v>
      </c>
      <c r="N165" s="2" t="str">
        <f t="shared" si="18"/>
        <v>华南</v>
      </c>
      <c r="O165" s="2" t="s">
        <v>73</v>
      </c>
      <c r="P165" s="4" t="s">
        <v>271</v>
      </c>
      <c r="Q165" s="5">
        <v>385</v>
      </c>
      <c r="R165" s="2">
        <v>49</v>
      </c>
      <c r="S165" s="2">
        <f t="shared" si="19"/>
        <v>49</v>
      </c>
      <c r="T165" s="2">
        <f>VLOOKUP(S165,折扣阶梯!$A$3:$C$7,2,TRUE)</f>
        <v>0.95</v>
      </c>
      <c r="U165" s="5">
        <v>18865</v>
      </c>
      <c r="V165" s="5">
        <f t="shared" si="20"/>
        <v>18865</v>
      </c>
      <c r="W165" s="2" t="s">
        <v>50</v>
      </c>
      <c r="X165">
        <f t="shared" si="21"/>
        <v>17921.75</v>
      </c>
      <c r="Y165">
        <f>_xlfn.XLOOKUP(O165,产品信息表!$A$4:$A$15,产品信息表!$E$4:$E$15)</f>
        <v>260</v>
      </c>
      <c r="Z165" s="31">
        <f t="shared" si="22"/>
        <v>0.28913192071086807</v>
      </c>
      <c r="AA165">
        <f t="shared" si="23"/>
        <v>11</v>
      </c>
    </row>
    <row r="166" spans="1:27" ht="14.5">
      <c r="A166" s="6" t="s">
        <v>310</v>
      </c>
      <c r="B166" s="7">
        <v>46219</v>
      </c>
      <c r="C166" s="3" t="str">
        <f t="shared" si="16"/>
        <v>2026-07-16</v>
      </c>
      <c r="D166" s="6" t="s">
        <v>149</v>
      </c>
      <c r="E166" s="2" t="str">
        <f>VLOOKUP(D166,客户信息表!A$3:H$23,2,0)</f>
        <v>深圳蓝鲸网络</v>
      </c>
      <c r="F166" s="8" t="s">
        <v>150</v>
      </c>
      <c r="G166" s="4" t="str">
        <f>INDEX(客户信息表!$A$4:$H$23,MATCH(F166,客户信息表!$B$4:$B$23,0),1)</f>
        <v>KH004</v>
      </c>
      <c r="H166" s="4" t="str">
        <f>_xlfn.XLOOKUP(O166,产品信息表!$A$4:$A$15,产品信息表!$C$4:$C$15)</f>
        <v>电子数码</v>
      </c>
      <c r="I166" s="30">
        <f>DATE(MID(A166,4,4),MID(A166,8,2),MID(A166,10,2))</f>
        <v>46219</v>
      </c>
      <c r="J166" s="4" t="str">
        <f t="shared" si="17"/>
        <v>0161</v>
      </c>
      <c r="K166" s="4" t="str">
        <f>VLOOKUP(D166,客户信息表!$A$3:$H$23,5,0)</f>
        <v>B</v>
      </c>
      <c r="L166" s="6" t="s">
        <v>37</v>
      </c>
      <c r="M166" s="6" t="s">
        <v>25</v>
      </c>
      <c r="N166" s="2" t="str">
        <f t="shared" si="18"/>
        <v>华南</v>
      </c>
      <c r="O166" s="6" t="s">
        <v>20</v>
      </c>
      <c r="P166" s="8" t="s">
        <v>21</v>
      </c>
      <c r="Q166" s="9">
        <v>299</v>
      </c>
      <c r="R166" s="6">
        <v>5</v>
      </c>
      <c r="S166" s="2">
        <f t="shared" si="19"/>
        <v>5</v>
      </c>
      <c r="T166" s="2">
        <f>VLOOKUP(S166,折扣阶梯!$A$3:$C$7,2,TRUE)</f>
        <v>1</v>
      </c>
      <c r="U166" s="11" t="s">
        <v>311</v>
      </c>
      <c r="V166" s="5">
        <f t="shared" si="20"/>
        <v>1495</v>
      </c>
      <c r="W166" s="6" t="s">
        <v>50</v>
      </c>
      <c r="X166">
        <f t="shared" si="21"/>
        <v>1495</v>
      </c>
      <c r="Y166">
        <f>_xlfn.XLOOKUP(O166,产品信息表!$A$4:$A$15,产品信息表!$E$4:$E$15)</f>
        <v>190</v>
      </c>
      <c r="Z166" s="31">
        <f t="shared" si="22"/>
        <v>0.36454849498327757</v>
      </c>
      <c r="AA166">
        <f t="shared" si="23"/>
        <v>36</v>
      </c>
    </row>
    <row r="167" spans="1:27" ht="14.5">
      <c r="A167" s="2" t="s">
        <v>312</v>
      </c>
      <c r="B167" s="3">
        <v>46219</v>
      </c>
      <c r="C167" s="3" t="str">
        <f t="shared" si="16"/>
        <v>2026-07-16</v>
      </c>
      <c r="D167" s="2" t="s">
        <v>31</v>
      </c>
      <c r="E167" s="2" t="str">
        <f>VLOOKUP(D167,客户信息表!A$3:H$23,2,0)</f>
        <v>长沙麓山科技</v>
      </c>
      <c r="F167" s="4" t="s">
        <v>32</v>
      </c>
      <c r="G167" s="4" t="str">
        <f>INDEX(客户信息表!$A$4:$H$23,MATCH(F167,客户信息表!$B$4:$B$23,0),1)</f>
        <v>KH012</v>
      </c>
      <c r="H167" s="4" t="str">
        <f>_xlfn.XLOOKUP(O167,产品信息表!$A$4:$A$15,产品信息表!$C$4:$C$15)</f>
        <v>电子数码</v>
      </c>
      <c r="I167" s="30">
        <f>DATE(MID(A167,4,4),MID(A167,8,2),MID(A167,10,2))</f>
        <v>46219</v>
      </c>
      <c r="J167" s="4" t="str">
        <f t="shared" si="17"/>
        <v>0162</v>
      </c>
      <c r="K167" s="4" t="str">
        <f>VLOOKUP(D167,客户信息表!$A$3:$H$23,5,0)</f>
        <v>B</v>
      </c>
      <c r="L167" s="2" t="s">
        <v>18</v>
      </c>
      <c r="M167" s="2" t="s">
        <v>45</v>
      </c>
      <c r="N167" s="2" t="str">
        <f t="shared" si="18"/>
        <v>华中</v>
      </c>
      <c r="O167" s="2" t="s">
        <v>20</v>
      </c>
      <c r="P167" s="4" t="s">
        <v>21</v>
      </c>
      <c r="Q167" s="5">
        <v>299</v>
      </c>
      <c r="R167" s="2">
        <v>2</v>
      </c>
      <c r="S167" s="2">
        <f t="shared" si="19"/>
        <v>2</v>
      </c>
      <c r="T167" s="2">
        <f>VLOOKUP(S167,折扣阶梯!$A$3:$C$7,2,TRUE)</f>
        <v>1</v>
      </c>
      <c r="U167" s="5">
        <v>598</v>
      </c>
      <c r="V167" s="5">
        <f t="shared" si="20"/>
        <v>598</v>
      </c>
      <c r="W167" s="2" t="s">
        <v>50</v>
      </c>
      <c r="X167">
        <f t="shared" si="21"/>
        <v>598</v>
      </c>
      <c r="Y167">
        <f>_xlfn.XLOOKUP(O167,产品信息表!$A$4:$A$15,产品信息表!$E$4:$E$15)</f>
        <v>190</v>
      </c>
      <c r="Z167" s="31">
        <f t="shared" si="22"/>
        <v>0.36454849498327757</v>
      </c>
      <c r="AA167">
        <f t="shared" si="23"/>
        <v>37</v>
      </c>
    </row>
    <row r="168" spans="1:27" ht="14.5">
      <c r="A168" s="6" t="s">
        <v>313</v>
      </c>
      <c r="B168" s="7">
        <v>46220</v>
      </c>
      <c r="C168" s="3" t="str">
        <f t="shared" si="16"/>
        <v>2026-07-17</v>
      </c>
      <c r="D168" s="6" t="s">
        <v>60</v>
      </c>
      <c r="E168" s="2" t="str">
        <f>VLOOKUP(D168,客户信息表!A$3:H$23,2,0)</f>
        <v>杭州云图信息</v>
      </c>
      <c r="F168" s="8" t="s">
        <v>61</v>
      </c>
      <c r="G168" s="4" t="str">
        <f>INDEX(客户信息表!$A$4:$H$23,MATCH(F168,客户信息表!$B$4:$B$23,0),1)</f>
        <v>KH005</v>
      </c>
      <c r="H168" s="4" t="str">
        <f>_xlfn.XLOOKUP(O168,产品信息表!$A$4:$A$15,产品信息表!$C$4:$C$15)</f>
        <v>软件服务</v>
      </c>
      <c r="I168" s="30">
        <f>DATE(MID(A168,4,4),MID(A168,8,2),MID(A168,10,2))</f>
        <v>46220</v>
      </c>
      <c r="J168" s="4" t="str">
        <f t="shared" si="17"/>
        <v>0163</v>
      </c>
      <c r="K168" s="4" t="str">
        <f>VLOOKUP(D168,客户信息表!$A$3:$H$23,5,0)</f>
        <v>A</v>
      </c>
      <c r="L168" s="6" t="s">
        <v>24</v>
      </c>
      <c r="M168" s="6" t="s">
        <v>115</v>
      </c>
      <c r="N168" s="2" t="str">
        <f t="shared" si="18"/>
        <v>华东</v>
      </c>
      <c r="O168" s="6" t="s">
        <v>12</v>
      </c>
      <c r="P168" s="8" t="s">
        <v>13</v>
      </c>
      <c r="Q168" s="9">
        <v>699</v>
      </c>
      <c r="R168" s="6">
        <v>26</v>
      </c>
      <c r="S168" s="2">
        <f t="shared" si="19"/>
        <v>26</v>
      </c>
      <c r="T168" s="2">
        <f>VLOOKUP(S168,折扣阶梯!$A$3:$C$7,2,TRUE)</f>
        <v>0.95</v>
      </c>
      <c r="U168" s="11" t="s">
        <v>314</v>
      </c>
      <c r="V168" s="5">
        <f t="shared" si="20"/>
        <v>18174</v>
      </c>
      <c r="W168" s="6" t="s">
        <v>50</v>
      </c>
      <c r="X168">
        <f t="shared" si="21"/>
        <v>17265.3</v>
      </c>
      <c r="Y168">
        <f>_xlfn.XLOOKUP(O168,产品信息表!$A$4:$A$15,产品信息表!$E$4:$E$15)</f>
        <v>300</v>
      </c>
      <c r="Z168" s="31">
        <f t="shared" si="22"/>
        <v>0.54822679015134401</v>
      </c>
      <c r="AA168">
        <f t="shared" si="23"/>
        <v>12</v>
      </c>
    </row>
    <row r="169" spans="1:27" ht="14.5">
      <c r="A169" s="2" t="s">
        <v>315</v>
      </c>
      <c r="B169" s="2" t="s">
        <v>316</v>
      </c>
      <c r="C169" s="3" t="str">
        <f t="shared" si="16"/>
        <v>2026-07-18</v>
      </c>
      <c r="D169" s="2" t="s">
        <v>125</v>
      </c>
      <c r="E169" s="2" t="str">
        <f>VLOOKUP(D169,客户信息表!A$3:H$23,2,0)</f>
        <v>南京紫金山软件园运营</v>
      </c>
      <c r="F169" s="4" t="s">
        <v>126</v>
      </c>
      <c r="G169" s="4" t="str">
        <f>INDEX(客户信息表!$A$4:$H$23,MATCH(F169,客户信息表!$B$4:$B$23,0),1)</f>
        <v>KH008</v>
      </c>
      <c r="H169" s="4" t="str">
        <f>_xlfn.XLOOKUP(O169,产品信息表!$A$4:$A$15,产品信息表!$C$4:$C$15)</f>
        <v>软件服务</v>
      </c>
      <c r="I169" s="30">
        <f>DATE(MID(A169,4,4),MID(A169,8,2),MID(A169,10,2))</f>
        <v>46221</v>
      </c>
      <c r="J169" s="4" t="str">
        <f t="shared" si="17"/>
        <v>0164</v>
      </c>
      <c r="K169" s="4" t="str">
        <f>VLOOKUP(D169,客户信息表!$A$3:$H$23,5,0)</f>
        <v>C</v>
      </c>
      <c r="L169" s="2" t="s">
        <v>24</v>
      </c>
      <c r="M169" s="2" t="s">
        <v>19</v>
      </c>
      <c r="N169" s="2" t="str">
        <f t="shared" si="18"/>
        <v>华东</v>
      </c>
      <c r="O169" s="2" t="s">
        <v>57</v>
      </c>
      <c r="P169" s="4" t="s">
        <v>123</v>
      </c>
      <c r="Q169" s="5">
        <v>599</v>
      </c>
      <c r="R169" s="2">
        <v>21</v>
      </c>
      <c r="S169" s="2">
        <f t="shared" si="19"/>
        <v>21</v>
      </c>
      <c r="T169" s="2">
        <f>VLOOKUP(S169,折扣阶梯!$A$3:$C$7,2,TRUE)</f>
        <v>0.95</v>
      </c>
      <c r="U169" s="5">
        <v>12579</v>
      </c>
      <c r="V169" s="5">
        <f t="shared" si="20"/>
        <v>12579</v>
      </c>
      <c r="W169" s="2" t="s">
        <v>50</v>
      </c>
      <c r="X169">
        <f t="shared" si="21"/>
        <v>11950.05</v>
      </c>
      <c r="Y169">
        <f>_xlfn.XLOOKUP(O169,产品信息表!$A$4:$A$15,产品信息表!$E$4:$E$15)</f>
        <v>250</v>
      </c>
      <c r="Z169" s="31">
        <f t="shared" si="22"/>
        <v>0.56067129426236706</v>
      </c>
      <c r="AA169">
        <f t="shared" si="23"/>
        <v>17</v>
      </c>
    </row>
    <row r="170" spans="1:27" ht="14.5">
      <c r="A170" s="6" t="s">
        <v>317</v>
      </c>
      <c r="B170" s="7">
        <v>46223</v>
      </c>
      <c r="C170" s="3" t="str">
        <f t="shared" si="16"/>
        <v>2026-07-20</v>
      </c>
      <c r="D170" s="6" t="s">
        <v>31</v>
      </c>
      <c r="E170" s="2" t="str">
        <f>VLOOKUP(D170,客户信息表!A$3:H$23,2,0)</f>
        <v>长沙麓山科技</v>
      </c>
      <c r="F170" s="8" t="s">
        <v>32</v>
      </c>
      <c r="G170" s="4" t="str">
        <f>INDEX(客户信息表!$A$4:$H$23,MATCH(F170,客户信息表!$B$4:$B$23,0),1)</f>
        <v>KH012</v>
      </c>
      <c r="H170" s="4" t="str">
        <f>_xlfn.XLOOKUP(O170,产品信息表!$A$4:$A$15,产品信息表!$C$4:$C$15)</f>
        <v>电子数码</v>
      </c>
      <c r="I170" s="30">
        <f>DATE(MID(A170,4,4),MID(A170,8,2),MID(A170,10,2))</f>
        <v>46223</v>
      </c>
      <c r="J170" s="4" t="str">
        <f t="shared" si="17"/>
        <v>0165</v>
      </c>
      <c r="K170" s="4" t="str">
        <f>VLOOKUP(D170,客户信息表!$A$3:$H$23,5,0)</f>
        <v>B</v>
      </c>
      <c r="L170" s="6" t="s">
        <v>37</v>
      </c>
      <c r="M170" s="6" t="s">
        <v>45</v>
      </c>
      <c r="N170" s="2" t="str">
        <f t="shared" si="18"/>
        <v>华中</v>
      </c>
      <c r="O170" s="6" t="s">
        <v>20</v>
      </c>
      <c r="P170" s="8" t="s">
        <v>21</v>
      </c>
      <c r="Q170" s="9">
        <v>299</v>
      </c>
      <c r="R170" s="6">
        <v>6</v>
      </c>
      <c r="S170" s="2">
        <f t="shared" si="19"/>
        <v>6</v>
      </c>
      <c r="T170" s="2">
        <f>VLOOKUP(S170,折扣阶梯!$A$3:$C$7,2,TRUE)</f>
        <v>1</v>
      </c>
      <c r="U170" s="9">
        <v>1794</v>
      </c>
      <c r="V170" s="5">
        <f t="shared" si="20"/>
        <v>1794</v>
      </c>
      <c r="W170" s="6" t="s">
        <v>50</v>
      </c>
      <c r="X170">
        <f t="shared" si="21"/>
        <v>1794</v>
      </c>
      <c r="Y170">
        <f>_xlfn.XLOOKUP(O170,产品信息表!$A$4:$A$15,产品信息表!$E$4:$E$15)</f>
        <v>190</v>
      </c>
      <c r="Z170" s="31">
        <f t="shared" si="22"/>
        <v>0.36454849498327757</v>
      </c>
      <c r="AA170">
        <f t="shared" si="23"/>
        <v>33</v>
      </c>
    </row>
    <row r="171" spans="1:27" ht="14.5">
      <c r="A171" s="2" t="s">
        <v>318</v>
      </c>
      <c r="B171" s="2" t="s">
        <v>319</v>
      </c>
      <c r="C171" s="3" t="str">
        <f t="shared" si="16"/>
        <v>2026-07-20</v>
      </c>
      <c r="D171" s="2" t="s">
        <v>98</v>
      </c>
      <c r="E171" s="2" t="str">
        <f>VLOOKUP(D171,客户信息表!A$3:H$23,2,0)</f>
        <v>苏州创智科技</v>
      </c>
      <c r="F171" s="4" t="s">
        <v>99</v>
      </c>
      <c r="G171" s="4" t="str">
        <f>INDEX(客户信息表!$A$4:$H$23,MATCH(F171,客户信息表!$B$4:$B$23,0),1)</f>
        <v>KH010</v>
      </c>
      <c r="H171" s="4" t="str">
        <f>_xlfn.XLOOKUP(O171,产品信息表!$A$4:$A$15,产品信息表!$C$4:$C$15)</f>
        <v>电子数码</v>
      </c>
      <c r="I171" s="30">
        <f>DATE(MID(A171,4,4),MID(A171,8,2),MID(A171,10,2))</f>
        <v>46223</v>
      </c>
      <c r="J171" s="4" t="str">
        <f t="shared" si="17"/>
        <v>0166</v>
      </c>
      <c r="K171" s="4" t="str">
        <f>VLOOKUP(D171,客户信息表!$A$3:$H$23,5,0)</f>
        <v>A</v>
      </c>
      <c r="L171" s="2" t="s">
        <v>24</v>
      </c>
      <c r="M171" s="2" t="s">
        <v>19</v>
      </c>
      <c r="N171" s="2" t="str">
        <f t="shared" si="18"/>
        <v>华东</v>
      </c>
      <c r="O171" s="2" t="s">
        <v>91</v>
      </c>
      <c r="P171" s="4" t="s">
        <v>102</v>
      </c>
      <c r="Q171" s="5">
        <v>5699</v>
      </c>
      <c r="R171" s="2">
        <v>12</v>
      </c>
      <c r="S171" s="2">
        <f t="shared" si="19"/>
        <v>12</v>
      </c>
      <c r="T171" s="2">
        <f>VLOOKUP(S171,折扣阶梯!$A$3:$C$7,2,TRUE)</f>
        <v>0.95</v>
      </c>
      <c r="U171" s="5">
        <v>68388</v>
      </c>
      <c r="V171" s="5">
        <f t="shared" si="20"/>
        <v>68388</v>
      </c>
      <c r="W171" s="2" t="s">
        <v>22</v>
      </c>
      <c r="X171">
        <f t="shared" si="21"/>
        <v>64968.6</v>
      </c>
      <c r="Y171">
        <f>_xlfn.XLOOKUP(O171,产品信息表!$A$4:$A$15,产品信息表!$E$4:$E$15)</f>
        <v>4800</v>
      </c>
      <c r="Z171" s="31">
        <f t="shared" si="22"/>
        <v>0.11341786647703658</v>
      </c>
      <c r="AA171">
        <f t="shared" si="23"/>
        <v>1</v>
      </c>
    </row>
    <row r="172" spans="1:27" ht="14.5">
      <c r="A172" s="6" t="s">
        <v>320</v>
      </c>
      <c r="B172" s="7">
        <v>46227</v>
      </c>
      <c r="C172" s="3" t="str">
        <f t="shared" si="16"/>
        <v>2026-07-24</v>
      </c>
      <c r="D172" s="6" t="s">
        <v>142</v>
      </c>
      <c r="E172" s="2" t="str">
        <f>VLOOKUP(D172,客户信息表!A$3:H$23,2,0)</f>
        <v>佛山美的家电商贸</v>
      </c>
      <c r="F172" s="8" t="s">
        <v>143</v>
      </c>
      <c r="G172" s="4" t="str">
        <f>INDEX(客户信息表!$A$4:$H$23,MATCH(F172,客户信息表!$B$4:$B$23,0),1)</f>
        <v>KH015</v>
      </c>
      <c r="H172" s="4" t="str">
        <f>_xlfn.XLOOKUP(O172,产品信息表!$A$4:$A$15,产品信息表!$C$4:$C$15)</f>
        <v>电子数码</v>
      </c>
      <c r="I172" s="30">
        <f>DATE(MID(A172,4,4),MID(A172,8,2),MID(A172,10,2))</f>
        <v>46227</v>
      </c>
      <c r="J172" s="4" t="str">
        <f t="shared" si="17"/>
        <v>0167</v>
      </c>
      <c r="K172" s="4" t="str">
        <f>VLOOKUP(D172,客户信息表!$A$3:$H$23,5,0)</f>
        <v>A</v>
      </c>
      <c r="L172" s="6" t="s">
        <v>55</v>
      </c>
      <c r="M172" s="6" t="s">
        <v>25</v>
      </c>
      <c r="N172" s="2" t="str">
        <f t="shared" si="18"/>
        <v>华南</v>
      </c>
      <c r="O172" s="6" t="s">
        <v>20</v>
      </c>
      <c r="P172" s="8" t="s">
        <v>21</v>
      </c>
      <c r="Q172" s="9">
        <v>299</v>
      </c>
      <c r="R172" s="6">
        <v>12</v>
      </c>
      <c r="S172" s="2">
        <f t="shared" si="19"/>
        <v>12</v>
      </c>
      <c r="T172" s="2">
        <f>VLOOKUP(S172,折扣阶梯!$A$3:$C$7,2,TRUE)</f>
        <v>0.95</v>
      </c>
      <c r="U172" s="9">
        <v>3588</v>
      </c>
      <c r="V172" s="5">
        <f t="shared" si="20"/>
        <v>3588</v>
      </c>
      <c r="W172" s="6" t="s">
        <v>50</v>
      </c>
      <c r="X172">
        <f t="shared" si="21"/>
        <v>3408.6</v>
      </c>
      <c r="Y172">
        <f>_xlfn.XLOOKUP(O172,产品信息表!$A$4:$A$15,产品信息表!$E$4:$E$15)</f>
        <v>190</v>
      </c>
      <c r="Z172" s="31">
        <f t="shared" si="22"/>
        <v>0.33110367892976589</v>
      </c>
      <c r="AA172">
        <f t="shared" si="23"/>
        <v>27</v>
      </c>
    </row>
    <row r="173" spans="1:27" ht="14.5">
      <c r="A173" s="2" t="s">
        <v>321</v>
      </c>
      <c r="B173" s="3">
        <v>46228</v>
      </c>
      <c r="C173" s="3" t="str">
        <f t="shared" si="16"/>
        <v>2026-07-25</v>
      </c>
      <c r="D173" s="2" t="s">
        <v>16</v>
      </c>
      <c r="E173" s="2" t="str">
        <f>VLOOKUP(D173,客户信息表!A$3:H$23,2,0)</f>
        <v>上海锦程贸易</v>
      </c>
      <c r="F173" s="4" t="s">
        <v>17</v>
      </c>
      <c r="G173" s="4" t="str">
        <f>INDEX(客户信息表!$A$4:$H$23,MATCH(F173,客户信息表!$B$4:$B$23,0),1)</f>
        <v>KH002</v>
      </c>
      <c r="H173" s="4" t="str">
        <f>_xlfn.XLOOKUP(O173,产品信息表!$A$4:$A$15,产品信息表!$C$4:$C$15)</f>
        <v>电子数码</v>
      </c>
      <c r="I173" s="30">
        <f>DATE(MID(A173,4,4),MID(A173,8,2),MID(A173,10,2))</f>
        <v>46228</v>
      </c>
      <c r="J173" s="4" t="str">
        <f t="shared" si="17"/>
        <v>0168</v>
      </c>
      <c r="K173" s="4" t="str">
        <f>VLOOKUP(D173,客户信息表!$A$3:$H$23,5,0)</f>
        <v>B</v>
      </c>
      <c r="L173" s="2" t="s">
        <v>55</v>
      </c>
      <c r="M173" s="2" t="s">
        <v>115</v>
      </c>
      <c r="N173" s="2" t="str">
        <f t="shared" si="18"/>
        <v>华东</v>
      </c>
      <c r="O173" s="2" t="s">
        <v>20</v>
      </c>
      <c r="P173" s="4" t="s">
        <v>21</v>
      </c>
      <c r="Q173" s="5">
        <v>299</v>
      </c>
      <c r="R173" s="2">
        <v>10</v>
      </c>
      <c r="S173" s="2">
        <f t="shared" si="19"/>
        <v>10</v>
      </c>
      <c r="T173" s="2">
        <f>VLOOKUP(S173,折扣阶梯!$A$3:$C$7,2,TRUE)</f>
        <v>0.95</v>
      </c>
      <c r="U173" s="5">
        <v>2990</v>
      </c>
      <c r="V173" s="5">
        <f t="shared" si="20"/>
        <v>2990</v>
      </c>
      <c r="W173" s="2" t="s">
        <v>22</v>
      </c>
      <c r="X173">
        <f t="shared" si="21"/>
        <v>2840.5</v>
      </c>
      <c r="Y173">
        <f>_xlfn.XLOOKUP(O173,产品信息表!$A$4:$A$15,产品信息表!$E$4:$E$15)</f>
        <v>190</v>
      </c>
      <c r="Z173" s="31">
        <f t="shared" si="22"/>
        <v>0.33110367892976589</v>
      </c>
      <c r="AA173">
        <f t="shared" si="23"/>
        <v>28</v>
      </c>
    </row>
    <row r="174" spans="1:27" ht="14.5">
      <c r="A174" s="6" t="s">
        <v>322</v>
      </c>
      <c r="B174" s="7">
        <v>46228</v>
      </c>
      <c r="C174" s="3" t="str">
        <f t="shared" si="16"/>
        <v>2026-07-25</v>
      </c>
      <c r="D174" s="6" t="s">
        <v>52</v>
      </c>
      <c r="E174" s="2" t="str">
        <f>VLOOKUP(D174,客户信息表!A$3:H$23,2,0)</f>
        <v>武汉长江实业</v>
      </c>
      <c r="F174" s="8" t="s">
        <v>53</v>
      </c>
      <c r="G174" s="4" t="str">
        <f>INDEX(客户信息表!$A$4:$H$23,MATCH(F174,客户信息表!$B$4:$B$23,0),1)</f>
        <v>KH007</v>
      </c>
      <c r="H174" s="4" t="str">
        <f>_xlfn.XLOOKUP(O174,产品信息表!$A$4:$A$15,产品信息表!$C$4:$C$15)</f>
        <v>办公耗材</v>
      </c>
      <c r="I174" s="30">
        <f>DATE(MID(A174,4,4),MID(A174,8,2),MID(A174,10,2))</f>
        <v>46228</v>
      </c>
      <c r="J174" s="4" t="str">
        <f t="shared" si="17"/>
        <v>0169</v>
      </c>
      <c r="K174" s="4" t="str">
        <f>VLOOKUP(D174,客户信息表!$A$3:$H$23,5,0)</f>
        <v>B</v>
      </c>
      <c r="L174" s="6" t="s">
        <v>44</v>
      </c>
      <c r="M174" s="6" t="s">
        <v>45</v>
      </c>
      <c r="N174" s="2" t="str">
        <f t="shared" si="18"/>
        <v>华中</v>
      </c>
      <c r="O174" s="6" t="s">
        <v>73</v>
      </c>
      <c r="P174" s="8" t="s">
        <v>74</v>
      </c>
      <c r="Q174" s="9">
        <v>385</v>
      </c>
      <c r="R174" s="6">
        <v>48</v>
      </c>
      <c r="S174" s="2">
        <f t="shared" si="19"/>
        <v>48</v>
      </c>
      <c r="T174" s="2">
        <f>VLOOKUP(S174,折扣阶梯!$A$3:$C$7,2,TRUE)</f>
        <v>0.95</v>
      </c>
      <c r="U174" s="9">
        <v>18480</v>
      </c>
      <c r="V174" s="5">
        <f t="shared" si="20"/>
        <v>18480</v>
      </c>
      <c r="W174" s="6" t="s">
        <v>22</v>
      </c>
      <c r="X174">
        <f t="shared" si="21"/>
        <v>17556</v>
      </c>
      <c r="Y174">
        <f>_xlfn.XLOOKUP(O174,产品信息表!$A$4:$A$15,产品信息表!$E$4:$E$15)</f>
        <v>260</v>
      </c>
      <c r="Z174" s="31">
        <f t="shared" si="22"/>
        <v>0.28913192071086807</v>
      </c>
      <c r="AA174">
        <f t="shared" si="23"/>
        <v>10</v>
      </c>
    </row>
    <row r="175" spans="1:27" ht="14.5">
      <c r="A175" s="2" t="s">
        <v>323</v>
      </c>
      <c r="B175" s="2" t="s">
        <v>324</v>
      </c>
      <c r="C175" s="3" t="str">
        <f t="shared" si="16"/>
        <v>2026-07-26</v>
      </c>
      <c r="D175" s="2" t="s">
        <v>71</v>
      </c>
      <c r="E175" s="2" t="str">
        <f>VLOOKUP(D175,客户信息表!A$3:H$23,2,0)</f>
        <v>成都天府商贸</v>
      </c>
      <c r="F175" s="4" t="s">
        <v>72</v>
      </c>
      <c r="G175" s="4" t="str">
        <f>INDEX(客户信息表!$A$4:$H$23,MATCH(F175,客户信息表!$B$4:$B$23,0),1)</f>
        <v>KH006</v>
      </c>
      <c r="H175" s="4" t="str">
        <f>_xlfn.XLOOKUP(O175,产品信息表!$A$4:$A$15,产品信息表!$C$4:$C$15)</f>
        <v>软件服务</v>
      </c>
      <c r="I175" s="30">
        <f>DATE(MID(A175,4,4),MID(A175,8,2),MID(A175,10,2))</f>
        <v>46229</v>
      </c>
      <c r="J175" s="4" t="str">
        <f t="shared" si="17"/>
        <v>0170</v>
      </c>
      <c r="K175" s="4" t="str">
        <f>VLOOKUP(D175,客户信息表!$A$3:$H$23,5,0)</f>
        <v>C</v>
      </c>
      <c r="L175" s="2" t="s">
        <v>37</v>
      </c>
      <c r="M175" s="2" t="s">
        <v>68</v>
      </c>
      <c r="N175" s="2" t="str">
        <f t="shared" si="18"/>
        <v>西南</v>
      </c>
      <c r="O175" s="2" t="s">
        <v>57</v>
      </c>
      <c r="P175" s="4" t="s">
        <v>123</v>
      </c>
      <c r="Q175" s="5">
        <v>599</v>
      </c>
      <c r="R175" s="2">
        <v>17</v>
      </c>
      <c r="S175" s="2">
        <f t="shared" si="19"/>
        <v>17</v>
      </c>
      <c r="T175" s="2">
        <f>VLOOKUP(S175,折扣阶梯!$A$3:$C$7,2,TRUE)</f>
        <v>0.95</v>
      </c>
      <c r="U175" s="5">
        <v>10183</v>
      </c>
      <c r="V175" s="5">
        <f t="shared" si="20"/>
        <v>10183</v>
      </c>
      <c r="W175" s="2" t="s">
        <v>50</v>
      </c>
      <c r="X175">
        <f t="shared" si="21"/>
        <v>9673.85</v>
      </c>
      <c r="Y175">
        <f>_xlfn.XLOOKUP(O175,产品信息表!$A$4:$A$15,产品信息表!$E$4:$E$15)</f>
        <v>250</v>
      </c>
      <c r="Z175" s="31">
        <f t="shared" si="22"/>
        <v>0.56067129426236717</v>
      </c>
      <c r="AA175">
        <f t="shared" si="23"/>
        <v>16</v>
      </c>
    </row>
    <row r="176" spans="1:27" ht="14.5">
      <c r="A176" s="6" t="s">
        <v>325</v>
      </c>
      <c r="B176" s="7">
        <v>46229</v>
      </c>
      <c r="C176" s="3" t="str">
        <f t="shared" si="16"/>
        <v>2026-07-26</v>
      </c>
      <c r="D176" s="6" t="s">
        <v>76</v>
      </c>
      <c r="E176" s="2" t="str">
        <f>VLOOKUP(D176,客户信息表!A$3:H$23,2,0)</f>
        <v>北京华信科技</v>
      </c>
      <c r="F176" s="8" t="s">
        <v>77</v>
      </c>
      <c r="G176" s="4" t="str">
        <f>INDEX(客户信息表!$A$4:$H$23,MATCH(F176,客户信息表!$B$4:$B$23,0),1)</f>
        <v>KH001</v>
      </c>
      <c r="H176" s="4" t="str">
        <f>_xlfn.XLOOKUP(O176,产品信息表!$A$4:$A$15,产品信息表!$C$4:$C$15)</f>
        <v>办公耗材</v>
      </c>
      <c r="I176" s="30">
        <f>DATE(MID(A176,4,4),MID(A176,8,2),MID(A176,10,2))</f>
        <v>46229</v>
      </c>
      <c r="J176" s="4" t="str">
        <f t="shared" si="17"/>
        <v>0171</v>
      </c>
      <c r="K176" s="4" t="str">
        <f>VLOOKUP(D176,客户信息表!$A$3:$H$23,5,0)</f>
        <v>A</v>
      </c>
      <c r="L176" s="6" t="s">
        <v>24</v>
      </c>
      <c r="M176" s="6" t="s">
        <v>38</v>
      </c>
      <c r="N176" s="2" t="str">
        <f t="shared" si="18"/>
        <v>华北</v>
      </c>
      <c r="O176" s="6" t="s">
        <v>73</v>
      </c>
      <c r="P176" s="8" t="s">
        <v>74</v>
      </c>
      <c r="Q176" s="9">
        <v>385</v>
      </c>
      <c r="R176" s="6">
        <v>35</v>
      </c>
      <c r="S176" s="2">
        <f t="shared" si="19"/>
        <v>35</v>
      </c>
      <c r="T176" s="2">
        <f>VLOOKUP(S176,折扣阶梯!$A$3:$C$7,2,TRUE)</f>
        <v>0.95</v>
      </c>
      <c r="U176" s="9">
        <v>13475</v>
      </c>
      <c r="V176" s="5">
        <f t="shared" si="20"/>
        <v>13475</v>
      </c>
      <c r="W176" s="6" t="s">
        <v>50</v>
      </c>
      <c r="X176">
        <f t="shared" si="21"/>
        <v>12801.25</v>
      </c>
      <c r="Y176">
        <f>_xlfn.XLOOKUP(O176,产品信息表!$A$4:$A$15,产品信息表!$E$4:$E$15)</f>
        <v>260</v>
      </c>
      <c r="Z176" s="31">
        <f t="shared" si="22"/>
        <v>0.28913192071086807</v>
      </c>
      <c r="AA176">
        <f t="shared" si="23"/>
        <v>13</v>
      </c>
    </row>
    <row r="177" spans="1:27" ht="14.5">
      <c r="A177" s="2" t="s">
        <v>326</v>
      </c>
      <c r="B177" s="2" t="s">
        <v>327</v>
      </c>
      <c r="C177" s="3" t="str">
        <f t="shared" si="16"/>
        <v>2026-07-26</v>
      </c>
      <c r="D177" s="2" t="s">
        <v>139</v>
      </c>
      <c r="E177" s="2" t="str">
        <f>VLOOKUP(D177,客户信息表!A$3:H$23,2,0)</f>
        <v>石家庄振华商贸</v>
      </c>
      <c r="F177" s="4" t="s">
        <v>140</v>
      </c>
      <c r="G177" s="4" t="str">
        <f>INDEX(客户信息表!$A$4:$H$23,MATCH(F177,客户信息表!$B$4:$B$23,0),1)</f>
        <v>KH013</v>
      </c>
      <c r="H177" s="4" t="str">
        <f>_xlfn.XLOOKUP(O177,产品信息表!$A$4:$A$15,产品信息表!$C$4:$C$15)</f>
        <v>办公耗材</v>
      </c>
      <c r="I177" s="30">
        <f>DATE(MID(A177,4,4),MID(A177,8,2),MID(A177,10,2))</f>
        <v>46229</v>
      </c>
      <c r="J177" s="4" t="str">
        <f t="shared" si="17"/>
        <v>0173</v>
      </c>
      <c r="K177" s="4" t="str">
        <f>VLOOKUP(D177,客户信息表!$A$3:$H$23,5,0)</f>
        <v>C</v>
      </c>
      <c r="L177" s="2" t="s">
        <v>78</v>
      </c>
      <c r="M177" s="2" t="s">
        <v>38</v>
      </c>
      <c r="N177" s="2" t="str">
        <f t="shared" si="18"/>
        <v>华北</v>
      </c>
      <c r="O177" s="2" t="s">
        <v>73</v>
      </c>
      <c r="P177" s="4" t="s">
        <v>74</v>
      </c>
      <c r="Q177" s="5">
        <v>385</v>
      </c>
      <c r="R177" s="2">
        <v>104</v>
      </c>
      <c r="S177" s="2">
        <f t="shared" si="19"/>
        <v>104</v>
      </c>
      <c r="T177" s="2">
        <f>VLOOKUP(S177,折扣阶梯!$A$3:$C$7,2,TRUE)</f>
        <v>0.85</v>
      </c>
      <c r="U177" s="5">
        <v>40040</v>
      </c>
      <c r="V177" s="5">
        <f t="shared" si="20"/>
        <v>40040</v>
      </c>
      <c r="W177" s="2" t="s">
        <v>89</v>
      </c>
      <c r="X177">
        <f t="shared" si="21"/>
        <v>34034</v>
      </c>
      <c r="Y177">
        <f>_xlfn.XLOOKUP(O177,产品信息表!$A$4:$A$15,产品信息表!$E$4:$E$15)</f>
        <v>260</v>
      </c>
      <c r="Z177" s="31">
        <f t="shared" si="22"/>
        <v>0.2055003819709702</v>
      </c>
      <c r="AA177">
        <f t="shared" si="23"/>
        <v>3</v>
      </c>
    </row>
    <row r="178" spans="1:27" ht="14.5">
      <c r="A178" s="6" t="s">
        <v>328</v>
      </c>
      <c r="B178" s="7">
        <v>46230</v>
      </c>
      <c r="C178" s="3" t="str">
        <f t="shared" si="16"/>
        <v>2026-07-27</v>
      </c>
      <c r="D178" s="6" t="s">
        <v>98</v>
      </c>
      <c r="E178" s="2" t="str">
        <f>VLOOKUP(D178,客户信息表!A$3:H$23,2,0)</f>
        <v>苏州创智科技</v>
      </c>
      <c r="F178" s="8" t="s">
        <v>99</v>
      </c>
      <c r="G178" s="4" t="str">
        <f>INDEX(客户信息表!$A$4:$H$23,MATCH(F178,客户信息表!$B$4:$B$23,0),1)</f>
        <v>KH010</v>
      </c>
      <c r="H178" s="4" t="str">
        <f>_xlfn.XLOOKUP(O178,产品信息表!$A$4:$A$15,产品信息表!$C$4:$C$15)</f>
        <v>办公耗材</v>
      </c>
      <c r="I178" s="30">
        <f>DATE(MID(A178,4,4),MID(A178,8,2),MID(A178,10,2))</f>
        <v>46230</v>
      </c>
      <c r="J178" s="4" t="str">
        <f t="shared" si="17"/>
        <v>0174</v>
      </c>
      <c r="K178" s="4" t="str">
        <f>VLOOKUP(D178,客户信息表!$A$3:$H$23,5,0)</f>
        <v>A</v>
      </c>
      <c r="L178" s="6" t="s">
        <v>44</v>
      </c>
      <c r="M178" s="6" t="s">
        <v>19</v>
      </c>
      <c r="N178" s="2" t="str">
        <f t="shared" si="18"/>
        <v>华东</v>
      </c>
      <c r="O178" s="6" t="s">
        <v>39</v>
      </c>
      <c r="P178" s="8" t="s">
        <v>40</v>
      </c>
      <c r="Q178" s="9">
        <v>128</v>
      </c>
      <c r="R178" s="6">
        <v>117</v>
      </c>
      <c r="S178" s="2">
        <f t="shared" si="19"/>
        <v>117</v>
      </c>
      <c r="T178" s="2">
        <f>VLOOKUP(S178,折扣阶梯!$A$3:$C$7,2,TRUE)</f>
        <v>0.85</v>
      </c>
      <c r="U178" s="9">
        <v>14976</v>
      </c>
      <c r="V178" s="5">
        <f t="shared" si="20"/>
        <v>14976</v>
      </c>
      <c r="W178" s="6" t="s">
        <v>50</v>
      </c>
      <c r="X178">
        <f t="shared" si="21"/>
        <v>12729.6</v>
      </c>
      <c r="Y178">
        <f>_xlfn.XLOOKUP(O178,产品信息表!$A$4:$A$15,产品信息表!$E$4:$E$15)</f>
        <v>95</v>
      </c>
      <c r="Z178" s="31">
        <f t="shared" si="22"/>
        <v>0.12683823529411767</v>
      </c>
      <c r="AA178">
        <f t="shared" si="23"/>
        <v>10</v>
      </c>
    </row>
    <row r="179" spans="1:27" ht="14.5">
      <c r="A179" s="2" t="s">
        <v>329</v>
      </c>
      <c r="B179" s="2" t="s">
        <v>330</v>
      </c>
      <c r="C179" s="3" t="str">
        <f t="shared" si="16"/>
        <v>2026-07-28</v>
      </c>
      <c r="D179" s="2" t="s">
        <v>113</v>
      </c>
      <c r="E179" s="2" t="str">
        <f>VLOOKUP(D179,客户信息表!A$3:H$23,2,0)</f>
        <v>宁波海港实业</v>
      </c>
      <c r="F179" s="4" t="s">
        <v>114</v>
      </c>
      <c r="G179" s="4" t="str">
        <f>INDEX(客户信息表!$A$4:$H$23,MATCH(F179,客户信息表!$B$4:$B$23,0),1)</f>
        <v>KH014</v>
      </c>
      <c r="H179" s="4" t="str">
        <f>_xlfn.XLOOKUP(O179,产品信息表!$A$4:$A$15,产品信息表!$C$4:$C$15)</f>
        <v>软件服务</v>
      </c>
      <c r="I179" s="30">
        <f>DATE(MID(A179,4,4),MID(A179,8,2),MID(A179,10,2))</f>
        <v>46231</v>
      </c>
      <c r="J179" s="4" t="str">
        <f t="shared" si="17"/>
        <v>0175</v>
      </c>
      <c r="K179" s="4" t="str">
        <f>VLOOKUP(D179,客户信息表!$A$3:$H$23,5,0)</f>
        <v>B</v>
      </c>
      <c r="L179" s="2" t="s">
        <v>24</v>
      </c>
      <c r="M179" s="2" t="s">
        <v>19</v>
      </c>
      <c r="N179" s="2" t="str">
        <f t="shared" si="18"/>
        <v>华东</v>
      </c>
      <c r="O179" s="2" t="s">
        <v>12</v>
      </c>
      <c r="P179" s="4" t="s">
        <v>13</v>
      </c>
      <c r="Q179" s="5">
        <v>699</v>
      </c>
      <c r="R179" s="2">
        <v>34</v>
      </c>
      <c r="S179" s="2">
        <f t="shared" si="19"/>
        <v>34</v>
      </c>
      <c r="T179" s="2">
        <f>VLOOKUP(S179,折扣阶梯!$A$3:$C$7,2,TRUE)</f>
        <v>0.95</v>
      </c>
      <c r="U179" s="5">
        <v>23766</v>
      </c>
      <c r="V179" s="5">
        <f t="shared" si="20"/>
        <v>23766</v>
      </c>
      <c r="W179" s="2" t="s">
        <v>89</v>
      </c>
      <c r="X179">
        <f t="shared" si="21"/>
        <v>22577.7</v>
      </c>
      <c r="Y179">
        <f>_xlfn.XLOOKUP(O179,产品信息表!$A$4:$A$15,产品信息表!$E$4:$E$15)</f>
        <v>300</v>
      </c>
      <c r="Z179" s="31">
        <f t="shared" si="22"/>
        <v>0.54822679015134401</v>
      </c>
      <c r="AA179">
        <f t="shared" si="23"/>
        <v>5</v>
      </c>
    </row>
    <row r="180" spans="1:27" ht="14.5">
      <c r="A180" s="6" t="s">
        <v>331</v>
      </c>
      <c r="B180" s="7">
        <v>46232</v>
      </c>
      <c r="C180" s="3" t="str">
        <f t="shared" si="16"/>
        <v>2026-07-29</v>
      </c>
      <c r="D180" s="6" t="s">
        <v>84</v>
      </c>
      <c r="E180" s="2" t="str">
        <f>VLOOKUP(D180,客户信息表!A$3:H$23,2,0)</f>
        <v>昆明滇池科技</v>
      </c>
      <c r="F180" s="8" t="s">
        <v>85</v>
      </c>
      <c r="G180" s="4" t="str">
        <f>INDEX(客户信息表!$A$4:$H$23,MATCH(F180,客户信息表!$B$4:$B$23,0),1)</f>
        <v>KH016</v>
      </c>
      <c r="H180" s="4" t="str">
        <f>_xlfn.XLOOKUP(O180,产品信息表!$A$4:$A$15,产品信息表!$C$4:$C$15)</f>
        <v>办公耗材</v>
      </c>
      <c r="I180" s="30">
        <f>DATE(MID(A180,4,4),MID(A180,8,2),MID(A180,10,2))</f>
        <v>46232</v>
      </c>
      <c r="J180" s="4" t="str">
        <f t="shared" si="17"/>
        <v>0176</v>
      </c>
      <c r="K180" s="4" t="str">
        <f>VLOOKUP(D180,客户信息表!$A$3:$H$23,5,0)</f>
        <v>C</v>
      </c>
      <c r="L180" s="6" t="s">
        <v>55</v>
      </c>
      <c r="M180" s="6" t="s">
        <v>86</v>
      </c>
      <c r="N180" s="2" t="str">
        <f t="shared" si="18"/>
        <v>西南</v>
      </c>
      <c r="O180" s="6" t="s">
        <v>73</v>
      </c>
      <c r="P180" s="8" t="s">
        <v>74</v>
      </c>
      <c r="Q180" s="9">
        <v>385</v>
      </c>
      <c r="R180" s="6">
        <v>54</v>
      </c>
      <c r="S180" s="2">
        <f t="shared" si="19"/>
        <v>54</v>
      </c>
      <c r="T180" s="2">
        <f>VLOOKUP(S180,折扣阶梯!$A$3:$C$7,2,TRUE)</f>
        <v>0.9</v>
      </c>
      <c r="U180" s="9">
        <v>20790</v>
      </c>
      <c r="V180" s="5">
        <f t="shared" si="20"/>
        <v>20790</v>
      </c>
      <c r="W180" s="6" t="s">
        <v>22</v>
      </c>
      <c r="X180">
        <f t="shared" si="21"/>
        <v>18711</v>
      </c>
      <c r="Y180">
        <f>_xlfn.XLOOKUP(O180,产品信息表!$A$4:$A$15,产品信息表!$E$4:$E$15)</f>
        <v>260</v>
      </c>
      <c r="Z180" s="31">
        <f t="shared" si="22"/>
        <v>0.24963924963924963</v>
      </c>
      <c r="AA180">
        <f t="shared" si="23"/>
        <v>6</v>
      </c>
    </row>
    <row r="181" spans="1:27" ht="14.5">
      <c r="A181" s="2" t="s">
        <v>332</v>
      </c>
      <c r="B181" s="3">
        <v>46232</v>
      </c>
      <c r="C181" s="3" t="str">
        <f t="shared" si="16"/>
        <v>2026-07-29</v>
      </c>
      <c r="D181" s="2" t="s">
        <v>98</v>
      </c>
      <c r="E181" s="2" t="str">
        <f>VLOOKUP(D181,客户信息表!A$3:H$23,2,0)</f>
        <v>苏州创智科技</v>
      </c>
      <c r="F181" s="4" t="s">
        <v>99</v>
      </c>
      <c r="G181" s="4" t="str">
        <f>INDEX(客户信息表!$A$4:$H$23,MATCH(F181,客户信息表!$B$4:$B$23,0),1)</f>
        <v>KH010</v>
      </c>
      <c r="H181" s="4" t="str">
        <f>_xlfn.XLOOKUP(O181,产品信息表!$A$4:$A$15,产品信息表!$C$4:$C$15)</f>
        <v>办公设备</v>
      </c>
      <c r="I181" s="30">
        <f>DATE(MID(A181,4,4),MID(A181,8,2),MID(A181,10,2))</f>
        <v>46232</v>
      </c>
      <c r="J181" s="4" t="str">
        <f t="shared" si="17"/>
        <v>0177</v>
      </c>
      <c r="K181" s="4" t="str">
        <f>VLOOKUP(D181,客户信息表!$A$3:$H$23,5,0)</f>
        <v>A</v>
      </c>
      <c r="L181" s="2" t="s">
        <v>44</v>
      </c>
      <c r="M181" s="2" t="s">
        <v>19</v>
      </c>
      <c r="N181" s="2" t="str">
        <f t="shared" si="18"/>
        <v>华东</v>
      </c>
      <c r="O181" s="2" t="s">
        <v>81</v>
      </c>
      <c r="P181" s="4" t="s">
        <v>82</v>
      </c>
      <c r="Q181" s="5">
        <v>2499</v>
      </c>
      <c r="R181" s="2">
        <v>7</v>
      </c>
      <c r="S181" s="2">
        <f t="shared" si="19"/>
        <v>7</v>
      </c>
      <c r="T181" s="2">
        <f>VLOOKUP(S181,折扣阶梯!$A$3:$C$7,2,TRUE)</f>
        <v>1</v>
      </c>
      <c r="U181" s="5">
        <v>19242.3</v>
      </c>
      <c r="V181" s="5">
        <f t="shared" si="20"/>
        <v>17493</v>
      </c>
      <c r="W181" s="2" t="s">
        <v>22</v>
      </c>
      <c r="X181">
        <f t="shared" si="21"/>
        <v>17493</v>
      </c>
      <c r="Y181">
        <f>_xlfn.XLOOKUP(O181,产品信息表!$A$4:$A$15,产品信息表!$E$4:$E$15)</f>
        <v>1850</v>
      </c>
      <c r="Z181" s="31">
        <f t="shared" si="22"/>
        <v>0.25970388155262103</v>
      </c>
      <c r="AA181">
        <f t="shared" si="23"/>
        <v>7</v>
      </c>
    </row>
    <row r="182" spans="1:27" ht="14.5">
      <c r="A182" s="6" t="s">
        <v>333</v>
      </c>
      <c r="B182" s="6" t="s">
        <v>334</v>
      </c>
      <c r="C182" s="3" t="str">
        <f t="shared" si="16"/>
        <v>2026-07-31</v>
      </c>
      <c r="D182" s="6" t="s">
        <v>152</v>
      </c>
      <c r="E182" s="2" t="str">
        <f>VLOOKUP(D182,客户信息表!A$3:H$23,2,0)</f>
        <v>厦门鹭岛文创</v>
      </c>
      <c r="F182" s="8" t="s">
        <v>153</v>
      </c>
      <c r="G182" s="4" t="str">
        <f>INDEX(客户信息表!$A$4:$H$23,MATCH(F182,客户信息表!$B$4:$B$23,0),1)</f>
        <v>KH018</v>
      </c>
      <c r="H182" s="4" t="str">
        <f>_xlfn.XLOOKUP(O182,产品信息表!$A$4:$A$15,产品信息表!$C$4:$C$15)</f>
        <v>软件服务</v>
      </c>
      <c r="I182" s="30">
        <f>DATE(MID(A182,4,4),MID(A182,8,2),MID(A182,10,2))</f>
        <v>46234</v>
      </c>
      <c r="J182" s="4" t="str">
        <f t="shared" si="17"/>
        <v>0178</v>
      </c>
      <c r="K182" s="4" t="str">
        <f>VLOOKUP(D182,客户信息表!$A$3:$H$23,5,0)</f>
        <v>C</v>
      </c>
      <c r="L182" s="6" t="s">
        <v>44</v>
      </c>
      <c r="M182" s="6" t="s">
        <v>25</v>
      </c>
      <c r="N182" s="2" t="str">
        <f t="shared" si="18"/>
        <v>华南</v>
      </c>
      <c r="O182" s="6" t="s">
        <v>12</v>
      </c>
      <c r="P182" s="8" t="s">
        <v>13</v>
      </c>
      <c r="Q182" s="9">
        <v>699</v>
      </c>
      <c r="R182" s="6">
        <v>17</v>
      </c>
      <c r="S182" s="2">
        <f t="shared" si="19"/>
        <v>17</v>
      </c>
      <c r="T182" s="2">
        <f>VLOOKUP(S182,折扣阶梯!$A$3:$C$7,2,TRUE)</f>
        <v>0.95</v>
      </c>
      <c r="U182" s="9">
        <v>11883</v>
      </c>
      <c r="V182" s="5">
        <f t="shared" si="20"/>
        <v>11883</v>
      </c>
      <c r="W182" s="6" t="s">
        <v>50</v>
      </c>
      <c r="X182">
        <f t="shared" si="21"/>
        <v>11288.85</v>
      </c>
      <c r="Y182">
        <f>_xlfn.XLOOKUP(O182,产品信息表!$A$4:$A$15,产品信息表!$E$4:$E$15)</f>
        <v>300</v>
      </c>
      <c r="Z182" s="31">
        <f t="shared" si="22"/>
        <v>0.54822679015134401</v>
      </c>
      <c r="AA182">
        <f t="shared" si="23"/>
        <v>9</v>
      </c>
    </row>
    <row r="183" spans="1:27" ht="14.5">
      <c r="A183" s="2" t="s">
        <v>335</v>
      </c>
      <c r="B183" s="3">
        <v>46235</v>
      </c>
      <c r="C183" s="3" t="str">
        <f t="shared" si="16"/>
        <v>2026-08-01</v>
      </c>
      <c r="D183" s="2" t="s">
        <v>142</v>
      </c>
      <c r="E183" s="2" t="str">
        <f>VLOOKUP(D183,客户信息表!A$3:H$23,2,0)</f>
        <v>佛山美的家电商贸</v>
      </c>
      <c r="F183" s="4" t="s">
        <v>143</v>
      </c>
      <c r="G183" s="4" t="str">
        <f>INDEX(客户信息表!$A$4:$H$23,MATCH(F183,客户信息表!$B$4:$B$23,0),1)</f>
        <v>KH015</v>
      </c>
      <c r="H183" s="4" t="str">
        <f>_xlfn.XLOOKUP(O183,产品信息表!$A$4:$A$15,产品信息表!$C$4:$C$15)</f>
        <v>软件服务</v>
      </c>
      <c r="I183" s="30">
        <f>DATE(MID(A183,4,4),MID(A183,8,2),MID(A183,10,2))</f>
        <v>46235</v>
      </c>
      <c r="J183" s="4" t="str">
        <f t="shared" si="17"/>
        <v>0179</v>
      </c>
      <c r="K183" s="4" t="str">
        <f>VLOOKUP(D183,客户信息表!$A$3:$H$23,5,0)</f>
        <v>A</v>
      </c>
      <c r="L183" s="2" t="s">
        <v>67</v>
      </c>
      <c r="M183" s="2" t="s">
        <v>25</v>
      </c>
      <c r="N183" s="2" t="str">
        <f t="shared" si="18"/>
        <v>华南</v>
      </c>
      <c r="O183" s="2" t="s">
        <v>12</v>
      </c>
      <c r="P183" s="4" t="s">
        <v>13</v>
      </c>
      <c r="Q183" s="5">
        <v>699</v>
      </c>
      <c r="R183" s="2">
        <v>8</v>
      </c>
      <c r="S183" s="2">
        <f t="shared" si="19"/>
        <v>8</v>
      </c>
      <c r="T183" s="2">
        <f>VLOOKUP(S183,折扣阶梯!$A$3:$C$7,2,TRUE)</f>
        <v>1</v>
      </c>
      <c r="U183" s="5">
        <v>5032.8</v>
      </c>
      <c r="V183" s="5">
        <f t="shared" si="20"/>
        <v>5592</v>
      </c>
      <c r="W183" s="2" t="s">
        <v>50</v>
      </c>
      <c r="X183">
        <f t="shared" si="21"/>
        <v>5592</v>
      </c>
      <c r="Y183">
        <f>_xlfn.XLOOKUP(O183,产品信息表!$A$4:$A$15,产品信息表!$E$4:$E$15)</f>
        <v>300</v>
      </c>
      <c r="Z183" s="31">
        <f t="shared" si="22"/>
        <v>0.57081545064377681</v>
      </c>
      <c r="AA183">
        <f t="shared" si="23"/>
        <v>14</v>
      </c>
    </row>
    <row r="184" spans="1:27" ht="14.5">
      <c r="A184" s="6" t="s">
        <v>336</v>
      </c>
      <c r="B184" s="7">
        <v>46235</v>
      </c>
      <c r="C184" s="3" t="str">
        <f t="shared" si="16"/>
        <v>2026-08-01</v>
      </c>
      <c r="D184" s="6" t="s">
        <v>98</v>
      </c>
      <c r="E184" s="2" t="str">
        <f>VLOOKUP(D184,客户信息表!A$3:H$23,2,0)</f>
        <v>苏州创智科技</v>
      </c>
      <c r="F184" s="8" t="s">
        <v>99</v>
      </c>
      <c r="G184" s="4" t="str">
        <f>INDEX(客户信息表!$A$4:$H$23,MATCH(F184,客户信息表!$B$4:$B$23,0),1)</f>
        <v>KH010</v>
      </c>
      <c r="H184" s="4" t="str">
        <f>_xlfn.XLOOKUP(O184,产品信息表!$A$4:$A$15,产品信息表!$C$4:$C$15)</f>
        <v>电子数码</v>
      </c>
      <c r="I184" s="30">
        <f>DATE(MID(A184,4,4),MID(A184,8,2),MID(A184,10,2))</f>
        <v>46235</v>
      </c>
      <c r="J184" s="4" t="str">
        <f t="shared" si="17"/>
        <v>0180</v>
      </c>
      <c r="K184" s="4" t="str">
        <f>VLOOKUP(D184,客户信息表!$A$3:$H$23,5,0)</f>
        <v>A</v>
      </c>
      <c r="L184" s="6" t="s">
        <v>44</v>
      </c>
      <c r="M184" s="6" t="s">
        <v>19</v>
      </c>
      <c r="N184" s="2" t="str">
        <f t="shared" si="18"/>
        <v>华东</v>
      </c>
      <c r="O184" s="6" t="s">
        <v>20</v>
      </c>
      <c r="P184" s="8" t="s">
        <v>21</v>
      </c>
      <c r="Q184" s="9">
        <v>299</v>
      </c>
      <c r="R184" s="6">
        <v>3</v>
      </c>
      <c r="S184" s="2">
        <f t="shared" si="19"/>
        <v>3</v>
      </c>
      <c r="T184" s="2">
        <f>VLOOKUP(S184,折扣阶梯!$A$3:$C$7,2,TRUE)</f>
        <v>1</v>
      </c>
      <c r="U184" s="9">
        <v>897</v>
      </c>
      <c r="V184" s="5">
        <f t="shared" si="20"/>
        <v>897</v>
      </c>
      <c r="W184" s="6" t="s">
        <v>50</v>
      </c>
      <c r="X184">
        <f t="shared" si="21"/>
        <v>897</v>
      </c>
      <c r="Y184">
        <f>_xlfn.XLOOKUP(O184,产品信息表!$A$4:$A$15,产品信息表!$E$4:$E$15)</f>
        <v>190</v>
      </c>
      <c r="Z184" s="31">
        <f t="shared" si="22"/>
        <v>0.36454849498327757</v>
      </c>
      <c r="AA184">
        <f t="shared" si="23"/>
        <v>20</v>
      </c>
    </row>
    <row r="185" spans="1:27" ht="14.5">
      <c r="A185" s="2" t="s">
        <v>337</v>
      </c>
      <c r="B185" s="3">
        <v>46238</v>
      </c>
      <c r="C185" s="3" t="str">
        <f t="shared" si="16"/>
        <v>2026-08-04</v>
      </c>
      <c r="D185" s="2" t="s">
        <v>52</v>
      </c>
      <c r="E185" s="2" t="str">
        <f>VLOOKUP(D185,客户信息表!A$3:H$23,2,0)</f>
        <v>武汉长江实业</v>
      </c>
      <c r="F185" s="4" t="s">
        <v>53</v>
      </c>
      <c r="G185" s="4" t="str">
        <f>INDEX(客户信息表!$A$4:$H$23,MATCH(F185,客户信息表!$B$4:$B$23,0),1)</f>
        <v>KH007</v>
      </c>
      <c r="H185" s="4" t="str">
        <f>_xlfn.XLOOKUP(O185,产品信息表!$A$4:$A$15,产品信息表!$C$4:$C$15)</f>
        <v>办公耗材</v>
      </c>
      <c r="I185" s="30">
        <f>DATE(MID(A185,4,4),MID(A185,8,2),MID(A185,10,2))</f>
        <v>46238</v>
      </c>
      <c r="J185" s="4" t="str">
        <f t="shared" si="17"/>
        <v>0181</v>
      </c>
      <c r="K185" s="4" t="str">
        <f>VLOOKUP(D185,客户信息表!$A$3:$H$23,5,0)</f>
        <v>B</v>
      </c>
      <c r="L185" s="2" t="s">
        <v>18</v>
      </c>
      <c r="M185" s="2" t="s">
        <v>45</v>
      </c>
      <c r="N185" s="2" t="str">
        <f t="shared" si="18"/>
        <v>华中</v>
      </c>
      <c r="O185" s="2" t="s">
        <v>39</v>
      </c>
      <c r="P185" s="4" t="s">
        <v>40</v>
      </c>
      <c r="Q185" s="5">
        <v>128</v>
      </c>
      <c r="R185" s="2">
        <v>22</v>
      </c>
      <c r="S185" s="2">
        <f t="shared" si="19"/>
        <v>22</v>
      </c>
      <c r="T185" s="2">
        <f>VLOOKUP(S185,折扣阶梯!$A$3:$C$7,2,TRUE)</f>
        <v>0.95</v>
      </c>
      <c r="U185" s="5">
        <v>2816</v>
      </c>
      <c r="V185" s="5">
        <f t="shared" si="20"/>
        <v>2816</v>
      </c>
      <c r="W185" s="2" t="s">
        <v>50</v>
      </c>
      <c r="X185">
        <f t="shared" si="21"/>
        <v>2675.2</v>
      </c>
      <c r="Y185">
        <f>_xlfn.XLOOKUP(O185,产品信息表!$A$4:$A$15,产品信息表!$E$4:$E$15)</f>
        <v>95</v>
      </c>
      <c r="Z185" s="31">
        <f t="shared" si="22"/>
        <v>0.21874999999999994</v>
      </c>
      <c r="AA185">
        <f t="shared" si="23"/>
        <v>18</v>
      </c>
    </row>
    <row r="186" spans="1:27" ht="14.5">
      <c r="A186" s="6" t="s">
        <v>338</v>
      </c>
      <c r="B186" s="7">
        <v>46238</v>
      </c>
      <c r="C186" s="3" t="str">
        <f t="shared" si="16"/>
        <v>2026-08-04</v>
      </c>
      <c r="D186" s="6" t="s">
        <v>16</v>
      </c>
      <c r="E186" s="2" t="str">
        <f>VLOOKUP(D186,客户信息表!A$3:H$23,2,0)</f>
        <v>上海锦程贸易</v>
      </c>
      <c r="F186" s="8" t="s">
        <v>17</v>
      </c>
      <c r="G186" s="4" t="str">
        <f>INDEX(客户信息表!$A$4:$H$23,MATCH(F186,客户信息表!$B$4:$B$23,0),1)</f>
        <v>KH002</v>
      </c>
      <c r="H186" s="4" t="str">
        <f>_xlfn.XLOOKUP(O186,产品信息表!$A$4:$A$15,产品信息表!$C$4:$C$15)</f>
        <v>办公耗材</v>
      </c>
      <c r="I186" s="30">
        <f>DATE(MID(A186,4,4),MID(A186,8,2),MID(A186,10,2))</f>
        <v>46238</v>
      </c>
      <c r="J186" s="4" t="str">
        <f t="shared" si="17"/>
        <v>0182</v>
      </c>
      <c r="K186" s="4" t="str">
        <f>VLOOKUP(D186,客户信息表!$A$3:$H$23,5,0)</f>
        <v>B</v>
      </c>
      <c r="L186" s="6" t="s">
        <v>18</v>
      </c>
      <c r="M186" s="6" t="s">
        <v>19</v>
      </c>
      <c r="N186" s="2" t="str">
        <f t="shared" si="18"/>
        <v>华东</v>
      </c>
      <c r="O186" s="6" t="s">
        <v>73</v>
      </c>
      <c r="P186" s="8" t="s">
        <v>74</v>
      </c>
      <c r="Q186" s="9">
        <v>385</v>
      </c>
      <c r="R186" s="6">
        <v>91</v>
      </c>
      <c r="S186" s="2">
        <f t="shared" si="19"/>
        <v>91</v>
      </c>
      <c r="T186" s="2">
        <f>VLOOKUP(S186,折扣阶梯!$A$3:$C$7,2,TRUE)</f>
        <v>0.9</v>
      </c>
      <c r="U186" s="9">
        <v>35035</v>
      </c>
      <c r="V186" s="5">
        <f t="shared" si="20"/>
        <v>35035</v>
      </c>
      <c r="W186" s="6" t="s">
        <v>50</v>
      </c>
      <c r="X186">
        <f t="shared" si="21"/>
        <v>31531.5</v>
      </c>
      <c r="Y186">
        <f>_xlfn.XLOOKUP(O186,产品信息表!$A$4:$A$15,产品信息表!$E$4:$E$15)</f>
        <v>260</v>
      </c>
      <c r="Z186" s="31">
        <f t="shared" si="22"/>
        <v>0.24963924963924963</v>
      </c>
      <c r="AA186">
        <f t="shared" si="23"/>
        <v>3</v>
      </c>
    </row>
    <row r="187" spans="1:27" ht="14.5">
      <c r="A187" s="2" t="s">
        <v>339</v>
      </c>
      <c r="B187" s="3">
        <v>46239</v>
      </c>
      <c r="C187" s="3" t="str">
        <f t="shared" si="16"/>
        <v>2026-08-05</v>
      </c>
      <c r="D187" s="2" t="s">
        <v>60</v>
      </c>
      <c r="E187" s="2" t="str">
        <f>VLOOKUP(D187,客户信息表!A$3:H$23,2,0)</f>
        <v>杭州云图信息</v>
      </c>
      <c r="F187" s="4" t="s">
        <v>61</v>
      </c>
      <c r="G187" s="4" t="str">
        <f>INDEX(客户信息表!$A$4:$H$23,MATCH(F187,客户信息表!$B$4:$B$23,0),1)</f>
        <v>KH005</v>
      </c>
      <c r="H187" s="4" t="str">
        <f>_xlfn.XLOOKUP(O187,产品信息表!$A$4:$A$15,产品信息表!$C$4:$C$15)</f>
        <v>软件服务</v>
      </c>
      <c r="I187" s="30">
        <f>DATE(MID(A187,4,4),MID(A187,8,2),MID(A187,10,2))</f>
        <v>46239</v>
      </c>
      <c r="J187" s="4" t="str">
        <f t="shared" si="17"/>
        <v>0183</v>
      </c>
      <c r="K187" s="4" t="str">
        <f>VLOOKUP(D187,客户信息表!$A$3:$H$23,5,0)</f>
        <v>A</v>
      </c>
      <c r="L187" s="2" t="s">
        <v>18</v>
      </c>
      <c r="M187" s="2" t="s">
        <v>115</v>
      </c>
      <c r="N187" s="2" t="str">
        <f t="shared" si="18"/>
        <v>华东</v>
      </c>
      <c r="O187" s="2" t="s">
        <v>12</v>
      </c>
      <c r="P187" s="4" t="s">
        <v>13</v>
      </c>
      <c r="Q187" s="5">
        <v>699</v>
      </c>
      <c r="R187" s="2">
        <v>8</v>
      </c>
      <c r="S187" s="2">
        <f t="shared" si="19"/>
        <v>8</v>
      </c>
      <c r="T187" s="2">
        <f>VLOOKUP(S187,折扣阶梯!$A$3:$C$7,2,TRUE)</f>
        <v>1</v>
      </c>
      <c r="U187" s="5">
        <v>5592</v>
      </c>
      <c r="V187" s="5">
        <f t="shared" si="20"/>
        <v>5592</v>
      </c>
      <c r="W187" s="2" t="s">
        <v>22</v>
      </c>
      <c r="X187">
        <f t="shared" si="21"/>
        <v>5592</v>
      </c>
      <c r="Y187">
        <f>_xlfn.XLOOKUP(O187,产品信息表!$A$4:$A$15,产品信息表!$E$4:$E$15)</f>
        <v>300</v>
      </c>
      <c r="Z187" s="31">
        <f t="shared" si="22"/>
        <v>0.57081545064377681</v>
      </c>
      <c r="AA187">
        <f t="shared" si="23"/>
        <v>13</v>
      </c>
    </row>
    <row r="188" spans="1:27" ht="14.5">
      <c r="A188" s="6" t="s">
        <v>340</v>
      </c>
      <c r="B188" s="7">
        <v>46240</v>
      </c>
      <c r="C188" s="3" t="str">
        <f t="shared" si="16"/>
        <v>2026-08-06</v>
      </c>
      <c r="D188" s="6" t="s">
        <v>139</v>
      </c>
      <c r="E188" s="2" t="str">
        <f>VLOOKUP(D188,客户信息表!A$3:H$23,2,0)</f>
        <v>石家庄振华商贸</v>
      </c>
      <c r="F188" s="8" t="s">
        <v>140</v>
      </c>
      <c r="G188" s="4" t="str">
        <f>INDEX(客户信息表!$A$4:$H$23,MATCH(F188,客户信息表!$B$4:$B$23,0),1)</f>
        <v>KH013</v>
      </c>
      <c r="H188" s="4" t="str">
        <f>_xlfn.XLOOKUP(O188,产品信息表!$A$4:$A$15,产品信息表!$C$4:$C$15)</f>
        <v>电子数码</v>
      </c>
      <c r="I188" s="30">
        <f>DATE(MID(A188,4,4),MID(A188,8,2),MID(A188,10,2))</f>
        <v>46240</v>
      </c>
      <c r="J188" s="4" t="str">
        <f t="shared" si="17"/>
        <v>0184</v>
      </c>
      <c r="K188" s="4" t="str">
        <f>VLOOKUP(D188,客户信息表!$A$3:$H$23,5,0)</f>
        <v>C</v>
      </c>
      <c r="L188" s="6" t="s">
        <v>18</v>
      </c>
      <c r="M188" s="6" t="s">
        <v>109</v>
      </c>
      <c r="N188" s="2" t="str">
        <f t="shared" si="18"/>
        <v>华北</v>
      </c>
      <c r="O188" s="6" t="s">
        <v>20</v>
      </c>
      <c r="P188" s="8" t="s">
        <v>21</v>
      </c>
      <c r="Q188" s="9">
        <v>299</v>
      </c>
      <c r="R188" s="6" t="s">
        <v>341</v>
      </c>
      <c r="S188" s="2">
        <f t="shared" si="19"/>
        <v>7</v>
      </c>
      <c r="T188" s="2">
        <f>VLOOKUP(S188,折扣阶梯!$A$3:$C$7,2,TRUE)</f>
        <v>1</v>
      </c>
      <c r="U188" s="9">
        <v>2093</v>
      </c>
      <c r="V188" s="5">
        <f t="shared" si="20"/>
        <v>2093</v>
      </c>
      <c r="W188" s="6" t="s">
        <v>22</v>
      </c>
      <c r="X188">
        <f t="shared" si="21"/>
        <v>2093</v>
      </c>
      <c r="Y188">
        <f>_xlfn.XLOOKUP(O188,产品信息表!$A$4:$A$15,产品信息表!$E$4:$E$15)</f>
        <v>190</v>
      </c>
      <c r="Z188" s="31">
        <f t="shared" si="22"/>
        <v>0.36454849498327757</v>
      </c>
      <c r="AA188">
        <f t="shared" si="23"/>
        <v>16</v>
      </c>
    </row>
    <row r="189" spans="1:27" ht="14.5">
      <c r="A189" s="2" t="s">
        <v>342</v>
      </c>
      <c r="B189" s="3">
        <v>46240</v>
      </c>
      <c r="C189" s="3" t="str">
        <f t="shared" si="16"/>
        <v>2026-08-06</v>
      </c>
      <c r="D189" s="2" t="s">
        <v>84</v>
      </c>
      <c r="E189" s="2" t="str">
        <f>VLOOKUP(D189,客户信息表!A$3:H$23,2,0)</f>
        <v>昆明滇池科技</v>
      </c>
      <c r="F189" s="4" t="s">
        <v>85</v>
      </c>
      <c r="G189" s="4" t="str">
        <f>INDEX(客户信息表!$A$4:$H$23,MATCH(F189,客户信息表!$B$4:$B$23,0),1)</f>
        <v>KH016</v>
      </c>
      <c r="H189" s="4" t="str">
        <f>_xlfn.XLOOKUP(O189,产品信息表!$A$4:$A$15,产品信息表!$C$4:$C$15)</f>
        <v>电子数码</v>
      </c>
      <c r="I189" s="30">
        <f>DATE(MID(A189,4,4),MID(A189,8,2),MID(A189,10,2))</f>
        <v>46240</v>
      </c>
      <c r="J189" s="4" t="str">
        <f t="shared" si="17"/>
        <v>0185</v>
      </c>
      <c r="K189" s="4" t="str">
        <f>VLOOKUP(D189,客户信息表!$A$3:$H$23,5,0)</f>
        <v>C</v>
      </c>
      <c r="L189" s="2" t="s">
        <v>11</v>
      </c>
      <c r="M189" s="2" t="s">
        <v>86</v>
      </c>
      <c r="N189" s="2" t="str">
        <f t="shared" si="18"/>
        <v>西南</v>
      </c>
      <c r="O189" s="2" t="s">
        <v>91</v>
      </c>
      <c r="P189" s="4" t="s">
        <v>102</v>
      </c>
      <c r="Q189" s="5">
        <v>5699</v>
      </c>
      <c r="R189" s="2" t="s">
        <v>181</v>
      </c>
      <c r="S189" s="2">
        <f t="shared" si="19"/>
        <v>9</v>
      </c>
      <c r="T189" s="2">
        <f>VLOOKUP(S189,折扣阶梯!$A$3:$C$7,2,TRUE)</f>
        <v>1</v>
      </c>
      <c r="U189" s="5">
        <v>51291</v>
      </c>
      <c r="V189" s="5">
        <f t="shared" si="20"/>
        <v>51291</v>
      </c>
      <c r="W189" s="2" t="s">
        <v>50</v>
      </c>
      <c r="X189">
        <f t="shared" si="21"/>
        <v>51291</v>
      </c>
      <c r="Y189">
        <f>_xlfn.XLOOKUP(O189,产品信息表!$A$4:$A$15,产品信息表!$E$4:$E$15)</f>
        <v>4800</v>
      </c>
      <c r="Z189" s="31">
        <f t="shared" si="22"/>
        <v>0.15774697315318478</v>
      </c>
      <c r="AA189">
        <f t="shared" si="23"/>
        <v>2</v>
      </c>
    </row>
    <row r="190" spans="1:27" ht="14.5">
      <c r="A190" s="6" t="s">
        <v>343</v>
      </c>
      <c r="B190" s="7">
        <v>46243</v>
      </c>
      <c r="C190" s="3" t="str">
        <f t="shared" si="16"/>
        <v>2026-08-09</v>
      </c>
      <c r="D190" s="6" t="s">
        <v>9</v>
      </c>
      <c r="E190" s="2" t="str">
        <f>VLOOKUP(D190,客户信息表!A$3:H$23,2,0)</f>
        <v>广州启航教育</v>
      </c>
      <c r="F190" s="8" t="s">
        <v>10</v>
      </c>
      <c r="G190" s="4" t="str">
        <f>INDEX(客户信息表!$A$4:$H$23,MATCH(F190,客户信息表!$B$4:$B$23,0),1)</f>
        <v>KH003</v>
      </c>
      <c r="H190" s="4" t="str">
        <f>_xlfn.XLOOKUP(O190,产品信息表!$A$4:$A$15,产品信息表!$C$4:$C$15)</f>
        <v>办公设备</v>
      </c>
      <c r="I190" s="30">
        <f>DATE(MID(A190,4,4),MID(A190,8,2),MID(A190,10,2))</f>
        <v>46243</v>
      </c>
      <c r="J190" s="4" t="str">
        <f t="shared" si="17"/>
        <v>0186</v>
      </c>
      <c r="K190" s="4" t="str">
        <f>VLOOKUP(D190,客户信息表!$A$3:$H$23,5,0)</f>
        <v>A</v>
      </c>
      <c r="L190" s="6" t="s">
        <v>37</v>
      </c>
      <c r="M190" s="6" t="s">
        <v>25</v>
      </c>
      <c r="N190" s="2" t="str">
        <f t="shared" si="18"/>
        <v>华南</v>
      </c>
      <c r="O190" s="6" t="s">
        <v>176</v>
      </c>
      <c r="P190" s="8" t="s">
        <v>177</v>
      </c>
      <c r="Q190" s="9">
        <v>3599</v>
      </c>
      <c r="R190" s="6">
        <v>4</v>
      </c>
      <c r="S190" s="2">
        <f t="shared" si="19"/>
        <v>4</v>
      </c>
      <c r="T190" s="2">
        <f>VLOOKUP(S190,折扣阶梯!$A$3:$C$7,2,TRUE)</f>
        <v>1</v>
      </c>
      <c r="U190" s="9">
        <v>14396</v>
      </c>
      <c r="V190" s="5">
        <f t="shared" si="20"/>
        <v>14396</v>
      </c>
      <c r="W190" s="6" t="s">
        <v>50</v>
      </c>
      <c r="X190">
        <f t="shared" si="21"/>
        <v>14396</v>
      </c>
      <c r="Y190">
        <f>_xlfn.XLOOKUP(O190,产品信息表!$A$4:$A$15,产品信息表!$E$4:$E$15)</f>
        <v>2700</v>
      </c>
      <c r="Z190" s="31">
        <f t="shared" si="22"/>
        <v>0.24979160878021672</v>
      </c>
      <c r="AA190">
        <f t="shared" si="23"/>
        <v>5</v>
      </c>
    </row>
    <row r="191" spans="1:27" ht="14.5">
      <c r="A191" s="2" t="s">
        <v>344</v>
      </c>
      <c r="B191" s="2" t="s">
        <v>345</v>
      </c>
      <c r="C191" s="3" t="str">
        <f t="shared" si="16"/>
        <v>2026-08-10</v>
      </c>
      <c r="D191" s="2" t="s">
        <v>35</v>
      </c>
      <c r="E191" s="2" t="str">
        <f>VLOOKUP(D191,客户信息表!A$3:H$23,2,0)</f>
        <v>北京中关新材</v>
      </c>
      <c r="F191" s="4" t="s">
        <v>36</v>
      </c>
      <c r="G191" s="4" t="str">
        <f>INDEX(客户信息表!$A$4:$H$23,MATCH(F191,客户信息表!$B$4:$B$23,0),1)</f>
        <v>KH019</v>
      </c>
      <c r="H191" s="4" t="str">
        <f>_xlfn.XLOOKUP(O191,产品信息表!$A$4:$A$15,产品信息表!$C$4:$C$15)</f>
        <v>软件服务</v>
      </c>
      <c r="I191" s="30">
        <f>DATE(MID(A191,4,4),MID(A191,8,2),MID(A191,10,2))</f>
        <v>46244</v>
      </c>
      <c r="J191" s="4" t="str">
        <f t="shared" si="17"/>
        <v>0187</v>
      </c>
      <c r="K191" s="4" t="str">
        <f>VLOOKUP(D191,客户信息表!$A$3:$H$23,5,0)</f>
        <v>B</v>
      </c>
      <c r="L191" s="2" t="s">
        <v>44</v>
      </c>
      <c r="M191" s="2" t="s">
        <v>38</v>
      </c>
      <c r="N191" s="2" t="str">
        <f t="shared" si="18"/>
        <v>华北</v>
      </c>
      <c r="O191" s="2" t="s">
        <v>57</v>
      </c>
      <c r="P191" s="4" t="s">
        <v>123</v>
      </c>
      <c r="Q191" s="5">
        <v>599</v>
      </c>
      <c r="R191" s="2">
        <v>37</v>
      </c>
      <c r="S191" s="2">
        <f t="shared" si="19"/>
        <v>37</v>
      </c>
      <c r="T191" s="2">
        <f>VLOOKUP(S191,折扣阶梯!$A$3:$C$7,2,TRUE)</f>
        <v>0.95</v>
      </c>
      <c r="U191" s="5">
        <v>22163</v>
      </c>
      <c r="V191" s="5">
        <f t="shared" si="20"/>
        <v>22163</v>
      </c>
      <c r="W191" s="2" t="s">
        <v>22</v>
      </c>
      <c r="X191">
        <f t="shared" si="21"/>
        <v>21054.85</v>
      </c>
      <c r="Y191">
        <f>_xlfn.XLOOKUP(O191,产品信息表!$A$4:$A$15,产品信息表!$E$4:$E$15)</f>
        <v>250</v>
      </c>
      <c r="Z191" s="31">
        <f t="shared" si="22"/>
        <v>0.56067129426236706</v>
      </c>
      <c r="AA191">
        <f t="shared" si="23"/>
        <v>3</v>
      </c>
    </row>
    <row r="192" spans="1:27" ht="14.5">
      <c r="A192" s="6" t="s">
        <v>346</v>
      </c>
      <c r="B192" s="7">
        <v>46245</v>
      </c>
      <c r="C192" s="3" t="str">
        <f t="shared" si="16"/>
        <v>2026-08-11</v>
      </c>
      <c r="D192" s="6" t="s">
        <v>9</v>
      </c>
      <c r="E192" s="2" t="str">
        <f>VLOOKUP(D192,客户信息表!A$3:H$23,2,0)</f>
        <v>广州启航教育</v>
      </c>
      <c r="F192" s="8" t="s">
        <v>10</v>
      </c>
      <c r="G192" s="4" t="str">
        <f>INDEX(客户信息表!$A$4:$H$23,MATCH(F192,客户信息表!$B$4:$B$23,0),1)</f>
        <v>KH003</v>
      </c>
      <c r="H192" s="4" t="str">
        <f>_xlfn.XLOOKUP(O192,产品信息表!$A$4:$A$15,产品信息表!$C$4:$C$15)</f>
        <v>办公设备</v>
      </c>
      <c r="I192" s="30">
        <f>DATE(MID(A192,4,4),MID(A192,8,2),MID(A192,10,2))</f>
        <v>46245</v>
      </c>
      <c r="J192" s="4" t="str">
        <f t="shared" si="17"/>
        <v>0188</v>
      </c>
      <c r="K192" s="4" t="str">
        <f>VLOOKUP(D192,客户信息表!$A$3:$H$23,5,0)</f>
        <v>A</v>
      </c>
      <c r="L192" s="6" t="s">
        <v>44</v>
      </c>
      <c r="M192" s="6" t="s">
        <v>154</v>
      </c>
      <c r="N192" s="2" t="str">
        <f t="shared" si="18"/>
        <v>华南</v>
      </c>
      <c r="O192" s="6" t="s">
        <v>81</v>
      </c>
      <c r="P192" s="8" t="s">
        <v>82</v>
      </c>
      <c r="Q192" s="9">
        <v>2499</v>
      </c>
      <c r="R192" s="6">
        <v>8</v>
      </c>
      <c r="S192" s="2">
        <f t="shared" si="19"/>
        <v>8</v>
      </c>
      <c r="T192" s="2">
        <f>VLOOKUP(S192,折扣阶梯!$A$3:$C$7,2,TRUE)</f>
        <v>1</v>
      </c>
      <c r="U192" s="9">
        <v>19992</v>
      </c>
      <c r="V192" s="5">
        <f t="shared" si="20"/>
        <v>19992</v>
      </c>
      <c r="W192" s="6" t="s">
        <v>89</v>
      </c>
      <c r="X192">
        <f t="shared" si="21"/>
        <v>19992</v>
      </c>
      <c r="Y192">
        <f>_xlfn.XLOOKUP(O192,产品信息表!$A$4:$A$15,产品信息表!$E$4:$E$15)</f>
        <v>1850</v>
      </c>
      <c r="Z192" s="31">
        <f t="shared" si="22"/>
        <v>0.25970388155262103</v>
      </c>
      <c r="AA192">
        <f t="shared" si="23"/>
        <v>3</v>
      </c>
    </row>
    <row r="193" spans="1:27" ht="14.5">
      <c r="A193" s="2" t="s">
        <v>347</v>
      </c>
      <c r="B193" s="2" t="s">
        <v>348</v>
      </c>
      <c r="C193" s="3" t="str">
        <f t="shared" si="16"/>
        <v>2026-08-13</v>
      </c>
      <c r="D193" s="2" t="s">
        <v>76</v>
      </c>
      <c r="E193" s="2" t="str">
        <f>VLOOKUP(D193,客户信息表!A$3:H$23,2,0)</f>
        <v>北京华信科技</v>
      </c>
      <c r="F193" s="4" t="s">
        <v>77</v>
      </c>
      <c r="G193" s="4" t="str">
        <f>INDEX(客户信息表!$A$4:$H$23,MATCH(F193,客户信息表!$B$4:$B$23,0),1)</f>
        <v>KH001</v>
      </c>
      <c r="H193" s="4" t="str">
        <f>_xlfn.XLOOKUP(O193,产品信息表!$A$4:$A$15,产品信息表!$C$4:$C$15)</f>
        <v>办公耗材</v>
      </c>
      <c r="I193" s="30">
        <f>DATE(MID(A193,4,4),MID(A193,8,2),MID(A193,10,2))</f>
        <v>46247</v>
      </c>
      <c r="J193" s="4" t="str">
        <f t="shared" si="17"/>
        <v>0189</v>
      </c>
      <c r="K193" s="4" t="str">
        <f>VLOOKUP(D193,客户信息表!$A$3:$H$23,5,0)</f>
        <v>A</v>
      </c>
      <c r="L193" s="2" t="s">
        <v>11</v>
      </c>
      <c r="M193" s="2" t="s">
        <v>38</v>
      </c>
      <c r="N193" s="2" t="str">
        <f t="shared" si="18"/>
        <v>华北</v>
      </c>
      <c r="O193" s="2" t="s">
        <v>39</v>
      </c>
      <c r="P193" s="4" t="s">
        <v>40</v>
      </c>
      <c r="Q193" s="5">
        <v>128</v>
      </c>
      <c r="R193" s="2">
        <v>67</v>
      </c>
      <c r="S193" s="2">
        <f t="shared" si="19"/>
        <v>67</v>
      </c>
      <c r="T193" s="2">
        <f>VLOOKUP(S193,折扣阶梯!$A$3:$C$7,2,TRUE)</f>
        <v>0.9</v>
      </c>
      <c r="U193" s="5">
        <v>8576</v>
      </c>
      <c r="V193" s="5">
        <f t="shared" si="20"/>
        <v>8576</v>
      </c>
      <c r="W193" s="2" t="s">
        <v>50</v>
      </c>
      <c r="X193">
        <f t="shared" si="21"/>
        <v>7718.4000000000005</v>
      </c>
      <c r="Y193">
        <f>_xlfn.XLOOKUP(O193,产品信息表!$A$4:$A$15,产品信息表!$E$4:$E$15)</f>
        <v>95</v>
      </c>
      <c r="Z193" s="31">
        <f t="shared" si="22"/>
        <v>0.17534722222222229</v>
      </c>
      <c r="AA193">
        <f t="shared" si="23"/>
        <v>5</v>
      </c>
    </row>
    <row r="194" spans="1:27" ht="14.5">
      <c r="A194" s="6" t="s">
        <v>349</v>
      </c>
      <c r="B194" s="7">
        <v>46247</v>
      </c>
      <c r="C194" s="3" t="str">
        <f t="shared" si="16"/>
        <v>2026-08-13</v>
      </c>
      <c r="D194" s="6" t="s">
        <v>16</v>
      </c>
      <c r="E194" s="2" t="str">
        <f>VLOOKUP(D194,客户信息表!A$3:H$23,2,0)</f>
        <v>上海锦程贸易</v>
      </c>
      <c r="F194" s="8" t="s">
        <v>17</v>
      </c>
      <c r="G194" s="4" t="str">
        <f>INDEX(客户信息表!$A$4:$H$23,MATCH(F194,客户信息表!$B$4:$B$23,0),1)</f>
        <v>KH002</v>
      </c>
      <c r="H194" s="4" t="str">
        <f>_xlfn.XLOOKUP(O194,产品信息表!$A$4:$A$15,产品信息表!$C$4:$C$15)</f>
        <v>办公设备</v>
      </c>
      <c r="I194" s="30">
        <f>DATE(MID(A194,4,4),MID(A194,8,2),MID(A194,10,2))</f>
        <v>46247</v>
      </c>
      <c r="J194" s="4" t="str">
        <f t="shared" si="17"/>
        <v>0190</v>
      </c>
      <c r="K194" s="4" t="str">
        <f>VLOOKUP(D194,客户信息表!$A$3:$H$23,5,0)</f>
        <v>B</v>
      </c>
      <c r="L194" s="6" t="s">
        <v>44</v>
      </c>
      <c r="M194" s="6" t="s">
        <v>19</v>
      </c>
      <c r="N194" s="2" t="str">
        <f t="shared" si="18"/>
        <v>华东</v>
      </c>
      <c r="O194" s="6" t="s">
        <v>81</v>
      </c>
      <c r="P194" s="8" t="s">
        <v>82</v>
      </c>
      <c r="Q194" s="9">
        <v>2499</v>
      </c>
      <c r="R194" s="6">
        <v>3</v>
      </c>
      <c r="S194" s="2">
        <f t="shared" si="19"/>
        <v>3</v>
      </c>
      <c r="T194" s="2">
        <f>VLOOKUP(S194,折扣阶梯!$A$3:$C$7,2,TRUE)</f>
        <v>1</v>
      </c>
      <c r="U194" s="9">
        <v>6747.3</v>
      </c>
      <c r="V194" s="5">
        <f t="shared" si="20"/>
        <v>7497</v>
      </c>
      <c r="W194" s="6" t="s">
        <v>22</v>
      </c>
      <c r="X194">
        <f t="shared" si="21"/>
        <v>7497</v>
      </c>
      <c r="Y194">
        <f>_xlfn.XLOOKUP(O194,产品信息表!$A$4:$A$15,产品信息表!$E$4:$E$15)</f>
        <v>1850</v>
      </c>
      <c r="Z194" s="31">
        <f t="shared" si="22"/>
        <v>0.25970388155262103</v>
      </c>
      <c r="AA194">
        <f t="shared" si="23"/>
        <v>5</v>
      </c>
    </row>
    <row r="195" spans="1:27" ht="14.5">
      <c r="A195" s="2" t="s">
        <v>350</v>
      </c>
      <c r="B195" s="3">
        <v>46248</v>
      </c>
      <c r="C195" s="3" t="str">
        <f t="shared" ref="C195:C203" si="24">TEXT(SUBSTITUTE(B195,".","/"),"yyyy-mm-dd")</f>
        <v>2026-08-14</v>
      </c>
      <c r="D195" s="2" t="s">
        <v>60</v>
      </c>
      <c r="E195" s="2" t="str">
        <f>VLOOKUP(D195,客户信息表!A$3:H$23,2,0)</f>
        <v>杭州云图信息</v>
      </c>
      <c r="F195" s="4" t="s">
        <v>61</v>
      </c>
      <c r="G195" s="4" t="str">
        <f>INDEX(客户信息表!$A$4:$H$23,MATCH(F195,客户信息表!$B$4:$B$23,0),1)</f>
        <v>KH005</v>
      </c>
      <c r="H195" s="4" t="str">
        <f>_xlfn.XLOOKUP(O195,产品信息表!$A$4:$A$15,产品信息表!$C$4:$C$15)</f>
        <v>办公耗材</v>
      </c>
      <c r="I195" s="30">
        <f>DATE(MID(A195,4,4),MID(A195,8,2),MID(A195,10,2))</f>
        <v>46248</v>
      </c>
      <c r="J195" s="4" t="str">
        <f t="shared" ref="J195:J203" si="25">RIGHT(A195,4)</f>
        <v>0191</v>
      </c>
      <c r="K195" s="4" t="str">
        <f>VLOOKUP(D195,客户信息表!$A$3:$H$23,5,0)</f>
        <v>A</v>
      </c>
      <c r="L195" s="2" t="s">
        <v>44</v>
      </c>
      <c r="M195" s="2" t="s">
        <v>115</v>
      </c>
      <c r="N195" s="2" t="str">
        <f t="shared" ref="N195:N203" si="26">SUBSTITUTE(TRIM(M195),"区","")</f>
        <v>华东</v>
      </c>
      <c r="O195" s="2" t="s">
        <v>39</v>
      </c>
      <c r="P195" s="4" t="s">
        <v>40</v>
      </c>
      <c r="Q195" s="5">
        <v>128</v>
      </c>
      <c r="R195" s="2">
        <v>41</v>
      </c>
      <c r="S195" s="2">
        <f t="shared" ref="S195:S203" si="27">IF(ISBLANK(R195),U195/Q195,VALUE(R195))</f>
        <v>41</v>
      </c>
      <c r="T195" s="2">
        <f>VLOOKUP(S195,折扣阶梯!$A$3:$C$7,2,TRUE)</f>
        <v>0.95</v>
      </c>
      <c r="U195" s="5">
        <v>5248</v>
      </c>
      <c r="V195" s="5">
        <f t="shared" ref="V195:V203" si="28">IF(Q195*S195=VALUE(SUBSTITUTE(U195,"¥","")),VALUE(SUBSTITUTE(U195,"¥","")),Q195*S195)</f>
        <v>5248</v>
      </c>
      <c r="W195" s="2" t="s">
        <v>50</v>
      </c>
      <c r="X195">
        <f t="shared" ref="X195:X203" si="29">V195*T195</f>
        <v>4985.5999999999995</v>
      </c>
      <c r="Y195">
        <f>_xlfn.XLOOKUP(O195,产品信息表!$A$4:$A$15,产品信息表!$E$4:$E$15)</f>
        <v>95</v>
      </c>
      <c r="Z195" s="31">
        <f t="shared" ref="Z195:Z203" si="30">(X195-Y195*S195)/X195</f>
        <v>0.21874999999999992</v>
      </c>
      <c r="AA195">
        <f t="shared" ref="AA195:AA203" si="31">_xlfn.RANK.EQ(V195,V195:V396,0)</f>
        <v>7</v>
      </c>
    </row>
    <row r="196" spans="1:27" ht="14.5">
      <c r="A196" s="6" t="s">
        <v>351</v>
      </c>
      <c r="B196" s="7">
        <v>46249</v>
      </c>
      <c r="C196" s="3" t="str">
        <f t="shared" si="24"/>
        <v>2026-08-15</v>
      </c>
      <c r="D196" s="6" t="s">
        <v>35</v>
      </c>
      <c r="E196" s="2" t="str">
        <f>VLOOKUP(D196,客户信息表!A$3:H$23,2,0)</f>
        <v>北京中关新材</v>
      </c>
      <c r="F196" s="8" t="s">
        <v>36</v>
      </c>
      <c r="G196" s="4" t="str">
        <f>INDEX(客户信息表!$A$4:$H$23,MATCH(F196,客户信息表!$B$4:$B$23,0),1)</f>
        <v>KH019</v>
      </c>
      <c r="H196" s="4" t="str">
        <f>_xlfn.XLOOKUP(O196,产品信息表!$A$4:$A$15,产品信息表!$C$4:$C$15)</f>
        <v>办公设备</v>
      </c>
      <c r="I196" s="30">
        <f>DATE(MID(A196,4,4),MID(A196,8,2),MID(A196,10,2))</f>
        <v>46249</v>
      </c>
      <c r="J196" s="4" t="str">
        <f t="shared" si="25"/>
        <v>0192</v>
      </c>
      <c r="K196" s="4" t="str">
        <f>VLOOKUP(D196,客户信息表!$A$3:$H$23,5,0)</f>
        <v>B</v>
      </c>
      <c r="L196" s="6" t="s">
        <v>24</v>
      </c>
      <c r="M196" s="6" t="s">
        <v>109</v>
      </c>
      <c r="N196" s="2" t="str">
        <f t="shared" si="26"/>
        <v>华北</v>
      </c>
      <c r="O196" s="6" t="s">
        <v>81</v>
      </c>
      <c r="P196" s="8" t="s">
        <v>82</v>
      </c>
      <c r="Q196" s="9">
        <v>2499</v>
      </c>
      <c r="R196" s="6">
        <v>3</v>
      </c>
      <c r="S196" s="2">
        <f t="shared" si="27"/>
        <v>3</v>
      </c>
      <c r="T196" s="2">
        <f>VLOOKUP(S196,折扣阶梯!$A$3:$C$7,2,TRUE)</f>
        <v>1</v>
      </c>
      <c r="U196" s="9">
        <v>7497</v>
      </c>
      <c r="V196" s="5">
        <f t="shared" si="28"/>
        <v>7497</v>
      </c>
      <c r="W196" s="6" t="s">
        <v>50</v>
      </c>
      <c r="X196">
        <f t="shared" si="29"/>
        <v>7497</v>
      </c>
      <c r="Y196">
        <f>_xlfn.XLOOKUP(O196,产品信息表!$A$4:$A$15,产品信息表!$E$4:$E$15)</f>
        <v>1850</v>
      </c>
      <c r="Z196" s="31">
        <f t="shared" si="30"/>
        <v>0.25970388155262103</v>
      </c>
      <c r="AA196">
        <f t="shared" si="31"/>
        <v>5</v>
      </c>
    </row>
    <row r="197" spans="1:27" ht="14.5">
      <c r="A197" s="2" t="s">
        <v>352</v>
      </c>
      <c r="B197" s="3">
        <v>46249</v>
      </c>
      <c r="C197" s="3" t="str">
        <f t="shared" si="24"/>
        <v>2026-08-15</v>
      </c>
      <c r="D197" s="2" t="s">
        <v>142</v>
      </c>
      <c r="E197" s="2" t="str">
        <f>VLOOKUP(D197,客户信息表!A$3:H$23,2,0)</f>
        <v>佛山美的家电商贸</v>
      </c>
      <c r="F197" s="4" t="s">
        <v>143</v>
      </c>
      <c r="G197" s="4" t="str">
        <f>INDEX(客户信息表!$A$4:$H$23,MATCH(F197,客户信息表!$B$4:$B$23,0),1)</f>
        <v>KH015</v>
      </c>
      <c r="H197" s="4" t="str">
        <f>_xlfn.XLOOKUP(O197,产品信息表!$A$4:$A$15,产品信息表!$C$4:$C$15)</f>
        <v>办公耗材</v>
      </c>
      <c r="I197" s="30">
        <f>DATE(MID(A197,4,4),MID(A197,8,2),MID(A197,10,2))</f>
        <v>46249</v>
      </c>
      <c r="J197" s="4" t="str">
        <f t="shared" si="25"/>
        <v>0193</v>
      </c>
      <c r="K197" s="4" t="str">
        <f>VLOOKUP(D197,客户信息表!$A$3:$H$23,5,0)</f>
        <v>A</v>
      </c>
      <c r="L197" s="2" t="s">
        <v>67</v>
      </c>
      <c r="M197" s="2" t="s">
        <v>353</v>
      </c>
      <c r="N197" s="2" t="str">
        <f t="shared" si="26"/>
        <v>华南</v>
      </c>
      <c r="O197" s="2" t="s">
        <v>48</v>
      </c>
      <c r="P197" s="4" t="s">
        <v>49</v>
      </c>
      <c r="Q197" s="5">
        <v>45</v>
      </c>
      <c r="R197" s="2">
        <v>98</v>
      </c>
      <c r="S197" s="2">
        <f t="shared" si="27"/>
        <v>98</v>
      </c>
      <c r="T197" s="2">
        <f>VLOOKUP(S197,折扣阶梯!$A$3:$C$7,2,TRUE)</f>
        <v>0.9</v>
      </c>
      <c r="U197" s="5">
        <v>4410</v>
      </c>
      <c r="V197" s="5">
        <f t="shared" si="28"/>
        <v>4410</v>
      </c>
      <c r="W197" s="2" t="s">
        <v>50</v>
      </c>
      <c r="X197">
        <f t="shared" si="29"/>
        <v>3969</v>
      </c>
      <c r="Y197">
        <f>_xlfn.XLOOKUP(O197,产品信息表!$A$4:$A$15,产品信息表!$E$4:$E$15)</f>
        <v>28</v>
      </c>
      <c r="Z197" s="31">
        <f t="shared" si="30"/>
        <v>0.30864197530864196</v>
      </c>
      <c r="AA197">
        <f t="shared" si="31"/>
        <v>6</v>
      </c>
    </row>
    <row r="198" spans="1:27" ht="14.5">
      <c r="A198" s="6" t="s">
        <v>354</v>
      </c>
      <c r="B198" s="7">
        <v>46249</v>
      </c>
      <c r="C198" s="3" t="str">
        <f t="shared" si="24"/>
        <v>2026-08-15</v>
      </c>
      <c r="D198" s="6" t="s">
        <v>142</v>
      </c>
      <c r="E198" s="2" t="str">
        <f>VLOOKUP(D198,客户信息表!A$3:H$23,2,0)</f>
        <v>佛山美的家电商贸</v>
      </c>
      <c r="F198" s="8" t="s">
        <v>143</v>
      </c>
      <c r="G198" s="4" t="str">
        <f>INDEX(客户信息表!$A$4:$H$23,MATCH(F198,客户信息表!$B$4:$B$23,0),1)</f>
        <v>KH015</v>
      </c>
      <c r="H198" s="4" t="str">
        <f>_xlfn.XLOOKUP(O198,产品信息表!$A$4:$A$15,产品信息表!$C$4:$C$15)</f>
        <v>电子数码</v>
      </c>
      <c r="I198" s="30">
        <f>DATE(MID(A198,4,4),MID(A198,8,2),MID(A198,10,2))</f>
        <v>46249</v>
      </c>
      <c r="J198" s="4" t="str">
        <f t="shared" si="25"/>
        <v>0194</v>
      </c>
      <c r="K198" s="4" t="str">
        <f>VLOOKUP(D198,客户信息表!$A$3:$H$23,5,0)</f>
        <v>A</v>
      </c>
      <c r="L198" s="6" t="s">
        <v>18</v>
      </c>
      <c r="M198" s="6" t="s">
        <v>25</v>
      </c>
      <c r="N198" s="2" t="str">
        <f t="shared" si="26"/>
        <v>华南</v>
      </c>
      <c r="O198" s="6" t="s">
        <v>20</v>
      </c>
      <c r="P198" s="8" t="s">
        <v>21</v>
      </c>
      <c r="Q198" s="9">
        <v>299</v>
      </c>
      <c r="R198" s="6">
        <v>11</v>
      </c>
      <c r="S198" s="2">
        <f t="shared" si="27"/>
        <v>11</v>
      </c>
      <c r="T198" s="2">
        <f>VLOOKUP(S198,折扣阶梯!$A$3:$C$7,2,TRUE)</f>
        <v>0.95</v>
      </c>
      <c r="U198" s="9">
        <v>3289</v>
      </c>
      <c r="V198" s="5">
        <f t="shared" si="28"/>
        <v>3289</v>
      </c>
      <c r="W198" s="6" t="s">
        <v>50</v>
      </c>
      <c r="X198">
        <f t="shared" si="29"/>
        <v>3124.5499999999997</v>
      </c>
      <c r="Y198">
        <f>_xlfn.XLOOKUP(O198,产品信息表!$A$4:$A$15,产品信息表!$E$4:$E$15)</f>
        <v>190</v>
      </c>
      <c r="Z198" s="31">
        <f t="shared" si="30"/>
        <v>0.33110367892976583</v>
      </c>
      <c r="AA198">
        <f t="shared" si="31"/>
        <v>6</v>
      </c>
    </row>
    <row r="199" spans="1:27" ht="14.5">
      <c r="A199" s="2" t="s">
        <v>355</v>
      </c>
      <c r="B199" s="3">
        <v>46249</v>
      </c>
      <c r="C199" s="3" t="str">
        <f t="shared" si="24"/>
        <v>2026-08-15</v>
      </c>
      <c r="D199" s="2" t="s">
        <v>31</v>
      </c>
      <c r="E199" s="2" t="str">
        <f>VLOOKUP(D199,客户信息表!A$3:H$23,2,0)</f>
        <v>长沙麓山科技</v>
      </c>
      <c r="F199" s="4" t="s">
        <v>32</v>
      </c>
      <c r="G199" s="4" t="str">
        <f>INDEX(客户信息表!$A$4:$H$23,MATCH(F199,客户信息表!$B$4:$B$23,0),1)</f>
        <v>KH012</v>
      </c>
      <c r="H199" s="4" t="str">
        <f>_xlfn.XLOOKUP(O199,产品信息表!$A$4:$A$15,产品信息表!$C$4:$C$15)</f>
        <v>电子数码</v>
      </c>
      <c r="I199" s="30">
        <f>DATE(MID(A199,4,4),MID(A199,8,2),MID(A199,10,2))</f>
        <v>46249</v>
      </c>
      <c r="J199" s="4" t="str">
        <f t="shared" si="25"/>
        <v>0195</v>
      </c>
      <c r="K199" s="4" t="str">
        <f>VLOOKUP(D199,客户信息表!$A$3:$H$23,5,0)</f>
        <v>B</v>
      </c>
      <c r="L199" s="2" t="s">
        <v>24</v>
      </c>
      <c r="M199" s="2" t="s">
        <v>45</v>
      </c>
      <c r="N199" s="2" t="str">
        <f t="shared" si="26"/>
        <v>华中</v>
      </c>
      <c r="O199" s="2" t="s">
        <v>62</v>
      </c>
      <c r="P199" s="4" t="s">
        <v>63</v>
      </c>
      <c r="Q199" s="5">
        <v>1299</v>
      </c>
      <c r="R199" s="2">
        <v>10</v>
      </c>
      <c r="S199" s="2">
        <f t="shared" si="27"/>
        <v>10</v>
      </c>
      <c r="T199" s="2">
        <f>VLOOKUP(S199,折扣阶梯!$A$3:$C$7,2,TRUE)</f>
        <v>0.95</v>
      </c>
      <c r="U199" s="5">
        <v>12990</v>
      </c>
      <c r="V199" s="5">
        <f t="shared" si="28"/>
        <v>12990</v>
      </c>
      <c r="W199" s="2" t="s">
        <v>50</v>
      </c>
      <c r="X199">
        <f t="shared" si="29"/>
        <v>12340.5</v>
      </c>
      <c r="Y199">
        <f>_xlfn.XLOOKUP(O199,产品信息表!$A$4:$A$15,产品信息表!$E$4:$E$15)</f>
        <v>950</v>
      </c>
      <c r="Z199" s="31">
        <f t="shared" si="30"/>
        <v>0.23017705927636645</v>
      </c>
      <c r="AA199">
        <f t="shared" si="31"/>
        <v>3</v>
      </c>
    </row>
    <row r="200" spans="1:27" ht="14.5">
      <c r="A200" s="2" t="s">
        <v>356</v>
      </c>
      <c r="B200" s="3">
        <v>46251</v>
      </c>
      <c r="C200" s="3" t="str">
        <f t="shared" si="24"/>
        <v>2026-08-17</v>
      </c>
      <c r="D200" s="2" t="s">
        <v>98</v>
      </c>
      <c r="E200" s="2" t="str">
        <f>VLOOKUP(D200,客户信息表!A$3:H$23,2,0)</f>
        <v>苏州创智科技</v>
      </c>
      <c r="F200" s="4" t="s">
        <v>99</v>
      </c>
      <c r="G200" s="4" t="str">
        <f>INDEX(客户信息表!$A$4:$H$23,MATCH(F200,客户信息表!$B$4:$B$23,0),1)</f>
        <v>KH010</v>
      </c>
      <c r="H200" s="4" t="str">
        <f>_xlfn.XLOOKUP(O200,产品信息表!$A$4:$A$15,产品信息表!$C$4:$C$15)</f>
        <v>电子数码</v>
      </c>
      <c r="I200" s="30">
        <f>DATE(MID(A200,4,4),MID(A200,8,2),MID(A200,10,2))</f>
        <v>46251</v>
      </c>
      <c r="J200" s="4" t="str">
        <f t="shared" si="25"/>
        <v>0197</v>
      </c>
      <c r="K200" s="4" t="str">
        <f>VLOOKUP(D200,客户信息表!$A$3:$H$23,5,0)</f>
        <v>A</v>
      </c>
      <c r="L200" s="2" t="s">
        <v>24</v>
      </c>
      <c r="M200" s="2" t="s">
        <v>19</v>
      </c>
      <c r="N200" s="2" t="str">
        <f t="shared" si="26"/>
        <v>华东</v>
      </c>
      <c r="O200" s="2" t="s">
        <v>192</v>
      </c>
      <c r="P200" s="4" t="s">
        <v>193</v>
      </c>
      <c r="Q200" s="5">
        <v>4299</v>
      </c>
      <c r="R200" s="2">
        <v>8</v>
      </c>
      <c r="S200" s="2">
        <f t="shared" si="27"/>
        <v>8</v>
      </c>
      <c r="T200" s="2">
        <f>VLOOKUP(S200,折扣阶梯!$A$3:$C$7,2,TRUE)</f>
        <v>1</v>
      </c>
      <c r="U200" s="5">
        <v>34392</v>
      </c>
      <c r="V200" s="5">
        <f t="shared" si="28"/>
        <v>34392</v>
      </c>
      <c r="W200" s="2" t="s">
        <v>50</v>
      </c>
      <c r="X200">
        <f t="shared" si="29"/>
        <v>34392</v>
      </c>
      <c r="Y200">
        <f>_xlfn.XLOOKUP(O200,产品信息表!$A$4:$A$15,产品信息表!$E$4:$E$15)</f>
        <v>3500</v>
      </c>
      <c r="Z200" s="31">
        <f t="shared" si="30"/>
        <v>0.18585717608746219</v>
      </c>
      <c r="AA200">
        <f t="shared" si="31"/>
        <v>2</v>
      </c>
    </row>
    <row r="201" spans="1:27" ht="14.5">
      <c r="A201" s="6" t="s">
        <v>357</v>
      </c>
      <c r="B201" s="7">
        <v>46251</v>
      </c>
      <c r="C201" s="3" t="str">
        <f t="shared" si="24"/>
        <v>2026-08-17</v>
      </c>
      <c r="D201" s="6" t="s">
        <v>42</v>
      </c>
      <c r="E201" s="2" t="str">
        <f>VLOOKUP(D201,客户信息表!A$3:H$23,2,0)</f>
        <v>郑州中原物流</v>
      </c>
      <c r="F201" s="8" t="s">
        <v>43</v>
      </c>
      <c r="G201" s="4" t="str">
        <f>INDEX(客户信息表!$A$4:$H$23,MATCH(F201,客户信息表!$B$4:$B$23,0),1)</f>
        <v>KH017</v>
      </c>
      <c r="H201" s="4" t="str">
        <f>_xlfn.XLOOKUP(O201,产品信息表!$A$4:$A$15,产品信息表!$C$4:$C$15)</f>
        <v>电子数码</v>
      </c>
      <c r="I201" s="30">
        <f>DATE(MID(A201,4,4),MID(A201,8,2),MID(A201,10,2))</f>
        <v>46251</v>
      </c>
      <c r="J201" s="4" t="str">
        <f t="shared" si="25"/>
        <v>0198</v>
      </c>
      <c r="K201" s="4" t="str">
        <f>VLOOKUP(D201,客户信息表!$A$3:$H$23,5,0)</f>
        <v>B</v>
      </c>
      <c r="L201" s="6" t="s">
        <v>11</v>
      </c>
      <c r="M201" s="6" t="s">
        <v>33</v>
      </c>
      <c r="N201" s="2" t="str">
        <f t="shared" si="26"/>
        <v>华中</v>
      </c>
      <c r="O201" s="6" t="s">
        <v>192</v>
      </c>
      <c r="P201" s="8" t="s">
        <v>193</v>
      </c>
      <c r="Q201" s="9">
        <v>4299</v>
      </c>
      <c r="R201" s="6">
        <v>12</v>
      </c>
      <c r="S201" s="2">
        <f t="shared" si="27"/>
        <v>12</v>
      </c>
      <c r="T201" s="2">
        <f>VLOOKUP(S201,折扣阶梯!$A$3:$C$7,2,TRUE)</f>
        <v>0.95</v>
      </c>
      <c r="U201" s="9">
        <v>51588</v>
      </c>
      <c r="V201" s="5">
        <f t="shared" si="28"/>
        <v>51588</v>
      </c>
      <c r="W201" s="6" t="s">
        <v>50</v>
      </c>
      <c r="X201">
        <f t="shared" si="29"/>
        <v>49008.6</v>
      </c>
      <c r="Y201">
        <f>_xlfn.XLOOKUP(O201,产品信息表!$A$4:$A$15,产品信息表!$E$4:$E$15)</f>
        <v>3500</v>
      </c>
      <c r="Z201" s="31">
        <f t="shared" si="30"/>
        <v>0.14300755377627597</v>
      </c>
      <c r="AA201">
        <f t="shared" si="31"/>
        <v>1</v>
      </c>
    </row>
    <row r="202" spans="1:27" ht="14.5">
      <c r="A202" s="2" t="s">
        <v>358</v>
      </c>
      <c r="B202" s="3">
        <v>46252</v>
      </c>
      <c r="C202" s="3" t="str">
        <f t="shared" si="24"/>
        <v>2026-08-18</v>
      </c>
      <c r="D202" s="2" t="s">
        <v>84</v>
      </c>
      <c r="E202" s="2" t="str">
        <f>VLOOKUP(D202,客户信息表!A$3:H$23,2,0)</f>
        <v>昆明滇池科技</v>
      </c>
      <c r="F202" s="4" t="s">
        <v>85</v>
      </c>
      <c r="G202" s="4" t="str">
        <f>INDEX(客户信息表!$A$4:$H$23,MATCH(F202,客户信息表!$B$4:$B$23,0),1)</f>
        <v>KH016</v>
      </c>
      <c r="H202" s="4" t="str">
        <f>_xlfn.XLOOKUP(O202,产品信息表!$A$4:$A$15,产品信息表!$C$4:$C$15)</f>
        <v>电子数码</v>
      </c>
      <c r="I202" s="30">
        <f>DATE(MID(A202,4,4),MID(A202,8,2),MID(A202,10,2))</f>
        <v>46252</v>
      </c>
      <c r="J202" s="4" t="str">
        <f t="shared" si="25"/>
        <v>0199</v>
      </c>
      <c r="K202" s="4" t="str">
        <f>VLOOKUP(D202,客户信息表!$A$3:$H$23,5,0)</f>
        <v>C</v>
      </c>
      <c r="L202" s="2" t="s">
        <v>24</v>
      </c>
      <c r="M202" s="2" t="s">
        <v>68</v>
      </c>
      <c r="N202" s="2" t="str">
        <f t="shared" si="26"/>
        <v>西南</v>
      </c>
      <c r="O202" s="2" t="s">
        <v>62</v>
      </c>
      <c r="P202" s="4" t="s">
        <v>63</v>
      </c>
      <c r="Q202" s="5">
        <v>1299</v>
      </c>
      <c r="R202" s="2">
        <v>5</v>
      </c>
      <c r="S202" s="2">
        <f t="shared" si="27"/>
        <v>5</v>
      </c>
      <c r="T202" s="2">
        <f>VLOOKUP(S202,折扣阶梯!$A$3:$C$7,2,TRUE)</f>
        <v>1</v>
      </c>
      <c r="U202" s="5">
        <v>6495</v>
      </c>
      <c r="V202" s="5">
        <f t="shared" si="28"/>
        <v>6495</v>
      </c>
      <c r="W202" s="2" t="s">
        <v>50</v>
      </c>
      <c r="X202">
        <f t="shared" si="29"/>
        <v>6495</v>
      </c>
      <c r="Y202">
        <f>_xlfn.XLOOKUP(O202,产品信息表!$A$4:$A$15,产品信息表!$E$4:$E$15)</f>
        <v>950</v>
      </c>
      <c r="Z202" s="31">
        <f t="shared" si="30"/>
        <v>0.26866820631254812</v>
      </c>
      <c r="AA202">
        <f t="shared" si="31"/>
        <v>2</v>
      </c>
    </row>
    <row r="203" spans="1:27" ht="14.5">
      <c r="A203" s="6" t="s">
        <v>359</v>
      </c>
      <c r="B203" s="7">
        <v>46254</v>
      </c>
      <c r="C203" s="3" t="str">
        <f t="shared" si="24"/>
        <v>2026-08-20</v>
      </c>
      <c r="D203" s="6" t="s">
        <v>31</v>
      </c>
      <c r="E203" s="2" t="str">
        <f>VLOOKUP(D203,客户信息表!A$3:H$23,2,0)</f>
        <v>长沙麓山科技</v>
      </c>
      <c r="F203" s="8" t="s">
        <v>32</v>
      </c>
      <c r="G203" s="4" t="str">
        <f>INDEX(客户信息表!$A$4:$H$23,MATCH(F203,客户信息表!$B$4:$B$23,0),1)</f>
        <v>KH012</v>
      </c>
      <c r="H203" s="4" t="str">
        <f>_xlfn.XLOOKUP(O203,产品信息表!$A$4:$A$15,产品信息表!$C$4:$C$15)</f>
        <v>办公设备</v>
      </c>
      <c r="I203" s="30">
        <f>DATE(MID(A203,4,4),MID(A203,8,2),MID(A203,10,2))</f>
        <v>46254</v>
      </c>
      <c r="J203" s="4" t="str">
        <f t="shared" si="25"/>
        <v>0200</v>
      </c>
      <c r="K203" s="4" t="str">
        <f>VLOOKUP(D203,客户信息表!$A$3:$H$23,5,0)</f>
        <v>B</v>
      </c>
      <c r="L203" s="6" t="s">
        <v>55</v>
      </c>
      <c r="M203" s="6" t="s">
        <v>289</v>
      </c>
      <c r="N203" s="2" t="str">
        <f t="shared" si="26"/>
        <v>华中</v>
      </c>
      <c r="O203" s="6" t="s">
        <v>81</v>
      </c>
      <c r="P203" s="8" t="s">
        <v>82</v>
      </c>
      <c r="Q203" s="9">
        <v>2499</v>
      </c>
      <c r="R203" s="6">
        <v>4</v>
      </c>
      <c r="S203" s="2">
        <f t="shared" si="27"/>
        <v>4</v>
      </c>
      <c r="T203" s="2">
        <f>VLOOKUP(S203,折扣阶梯!$A$3:$C$7,2,TRUE)</f>
        <v>1</v>
      </c>
      <c r="U203" s="11" t="s">
        <v>360</v>
      </c>
      <c r="V203" s="5">
        <f t="shared" si="28"/>
        <v>9996</v>
      </c>
      <c r="W203" s="6" t="s">
        <v>22</v>
      </c>
      <c r="X203">
        <f t="shared" si="29"/>
        <v>9996</v>
      </c>
      <c r="Y203">
        <f>_xlfn.XLOOKUP(O203,产品信息表!$A$4:$A$15,产品信息表!$E$4:$E$15)</f>
        <v>1850</v>
      </c>
      <c r="Z203" s="31">
        <f t="shared" si="30"/>
        <v>0.25970388155262103</v>
      </c>
      <c r="AA203">
        <f t="shared" si="31"/>
        <v>1</v>
      </c>
    </row>
    <row r="204" spans="1:27" ht="14.5">
      <c r="G204" s="4"/>
      <c r="H204" s="27"/>
      <c r="I204" s="27"/>
      <c r="J204" s="27"/>
    </row>
    <row r="205" spans="1:27" ht="14.5">
      <c r="G205" s="4"/>
      <c r="H205" s="27"/>
      <c r="I205" s="27"/>
      <c r="J205" s="27"/>
    </row>
    <row r="206" spans="1:27" ht="14.5">
      <c r="G206" s="4"/>
      <c r="H206" s="27"/>
      <c r="I206" s="27"/>
      <c r="J206" s="27"/>
    </row>
    <row r="207" spans="1:27" ht="14.5">
      <c r="G207" s="4"/>
      <c r="H207" s="27"/>
      <c r="I207" s="27"/>
      <c r="J207" s="27"/>
    </row>
    <row r="208" spans="1:27" ht="14.5">
      <c r="G208" s="4"/>
      <c r="H208" s="27"/>
      <c r="I208" s="27"/>
      <c r="J208" s="27"/>
    </row>
    <row r="209" spans="7:10" ht="14.5">
      <c r="G209" s="4"/>
      <c r="H209" s="27"/>
      <c r="I209" s="27"/>
      <c r="J209" s="27"/>
    </row>
    <row r="210" spans="7:10" ht="14.5">
      <c r="G210" s="4"/>
      <c r="H210" s="27"/>
      <c r="I210" s="27"/>
      <c r="J210" s="27"/>
    </row>
    <row r="211" spans="7:10" ht="14.5">
      <c r="G211" s="4"/>
      <c r="H211" s="27"/>
      <c r="I211" s="27"/>
      <c r="J211" s="27"/>
    </row>
    <row r="212" spans="7:10" ht="14.5">
      <c r="G212" s="4"/>
      <c r="H212" s="27"/>
      <c r="I212" s="27"/>
      <c r="J212" s="27"/>
    </row>
    <row r="213" spans="7:10" ht="14.5">
      <c r="G213" s="4"/>
      <c r="H213" s="27"/>
      <c r="I213" s="27"/>
      <c r="J213" s="27"/>
    </row>
    <row r="214" spans="7:10" ht="14.5">
      <c r="G214" s="4"/>
      <c r="H214" s="27"/>
      <c r="I214" s="27"/>
      <c r="J214" s="27"/>
    </row>
    <row r="215" spans="7:10" ht="14.5">
      <c r="G215" s="4"/>
      <c r="H215" s="27"/>
      <c r="I215" s="27"/>
      <c r="J215" s="27"/>
    </row>
    <row r="216" spans="7:10" ht="14.5">
      <c r="G216" s="4"/>
      <c r="H216" s="27"/>
      <c r="I216" s="27"/>
      <c r="J216" s="27"/>
    </row>
    <row r="217" spans="7:10" ht="14.5">
      <c r="G217" s="4"/>
      <c r="H217" s="27"/>
      <c r="I217" s="27"/>
      <c r="J217" s="27"/>
    </row>
    <row r="218" spans="7:10" ht="14.5">
      <c r="G218" s="4"/>
      <c r="H218" s="27"/>
      <c r="I218" s="27"/>
      <c r="J218" s="27"/>
    </row>
    <row r="219" spans="7:10" ht="14.5">
      <c r="G219" s="4"/>
      <c r="H219" s="27"/>
      <c r="I219" s="27"/>
      <c r="J219" s="27"/>
    </row>
    <row r="220" spans="7:10" ht="14.5">
      <c r="G220" s="4"/>
      <c r="H220" s="27"/>
      <c r="I220" s="27"/>
      <c r="J220" s="27"/>
    </row>
    <row r="221" spans="7:10" ht="14.5">
      <c r="G221" s="4"/>
      <c r="H221" s="27"/>
      <c r="I221" s="27"/>
      <c r="J221" s="27"/>
    </row>
    <row r="222" spans="7:10" ht="14.5">
      <c r="G222" s="4"/>
      <c r="H222" s="27"/>
      <c r="I222" s="27"/>
      <c r="J222" s="27"/>
    </row>
    <row r="223" spans="7:10" ht="14.5">
      <c r="G223" s="4"/>
      <c r="H223" s="27"/>
      <c r="I223" s="27"/>
      <c r="J223" s="27"/>
    </row>
    <row r="224" spans="7:10" ht="14.5">
      <c r="G224" s="4"/>
      <c r="H224" s="27"/>
      <c r="I224" s="27"/>
      <c r="J224" s="27"/>
    </row>
    <row r="225" spans="7:10" ht="14.5">
      <c r="G225" s="4"/>
      <c r="H225" s="27"/>
      <c r="I225" s="27"/>
      <c r="J225" s="27"/>
    </row>
    <row r="226" spans="7:10" ht="14.5">
      <c r="G226" s="4"/>
      <c r="H226" s="27"/>
      <c r="I226" s="27"/>
      <c r="J226" s="27"/>
    </row>
    <row r="227" spans="7:10" ht="14.5">
      <c r="G227" s="4"/>
      <c r="H227" s="27"/>
      <c r="I227" s="27"/>
      <c r="J227" s="27"/>
    </row>
    <row r="228" spans="7:10" ht="14.5">
      <c r="G228" s="4"/>
      <c r="H228" s="27"/>
      <c r="I228" s="27"/>
      <c r="J228" s="27"/>
    </row>
    <row r="229" spans="7:10" ht="14.5">
      <c r="G229" s="4"/>
      <c r="H229" s="27"/>
      <c r="I229" s="27"/>
      <c r="J229" s="27"/>
    </row>
    <row r="230" spans="7:10" ht="14.5">
      <c r="G230" s="4"/>
      <c r="H230" s="27"/>
      <c r="I230" s="27"/>
      <c r="J230" s="27"/>
    </row>
    <row r="231" spans="7:10" ht="14.5">
      <c r="G231" s="4"/>
      <c r="H231" s="27"/>
      <c r="I231" s="27"/>
      <c r="J231" s="27"/>
    </row>
    <row r="232" spans="7:10" ht="14.5">
      <c r="G232" s="4"/>
      <c r="H232" s="27"/>
      <c r="I232" s="27"/>
      <c r="J232" s="27"/>
    </row>
    <row r="233" spans="7:10" ht="14.5">
      <c r="G233" s="4"/>
      <c r="H233" s="27"/>
      <c r="I233" s="27"/>
      <c r="J233" s="27"/>
    </row>
    <row r="234" spans="7:10" ht="14.5">
      <c r="G234" s="4"/>
      <c r="H234" s="27"/>
      <c r="I234" s="27"/>
      <c r="J234" s="27"/>
    </row>
    <row r="235" spans="7:10" ht="14.5">
      <c r="G235" s="4"/>
      <c r="H235" s="27"/>
      <c r="I235" s="27"/>
      <c r="J235" s="27"/>
    </row>
    <row r="236" spans="7:10" ht="14.5">
      <c r="G236" s="4"/>
      <c r="H236" s="27"/>
      <c r="I236" s="27"/>
      <c r="J236" s="27"/>
    </row>
    <row r="237" spans="7:10" ht="14.5">
      <c r="G237" s="4"/>
      <c r="H237" s="27"/>
      <c r="I237" s="27"/>
      <c r="J237" s="27"/>
    </row>
    <row r="238" spans="7:10" ht="14.5">
      <c r="G238" s="4"/>
      <c r="H238" s="27"/>
      <c r="I238" s="27"/>
      <c r="J238" s="27"/>
    </row>
    <row r="239" spans="7:10" ht="14.5">
      <c r="G239" s="4"/>
      <c r="H239" s="27"/>
      <c r="I239" s="27"/>
      <c r="J239" s="27"/>
    </row>
    <row r="240" spans="7:10" ht="14.5">
      <c r="G240" s="4"/>
      <c r="H240" s="27"/>
      <c r="I240" s="27"/>
      <c r="J240" s="27"/>
    </row>
    <row r="241" spans="7:10" ht="14.5">
      <c r="G241" s="4"/>
      <c r="H241" s="27"/>
      <c r="I241" s="27"/>
      <c r="J241" s="27"/>
    </row>
    <row r="242" spans="7:10" ht="14.5">
      <c r="G242" s="4"/>
      <c r="H242" s="27"/>
      <c r="I242" s="27"/>
      <c r="J242" s="27"/>
    </row>
    <row r="243" spans="7:10" ht="14.5">
      <c r="G243" s="4"/>
      <c r="H243" s="27"/>
      <c r="I243" s="27"/>
      <c r="J243" s="27"/>
    </row>
    <row r="244" spans="7:10" ht="14.5">
      <c r="G244" s="4"/>
      <c r="H244" s="27"/>
      <c r="I244" s="27"/>
      <c r="J244" s="27"/>
    </row>
    <row r="245" spans="7:10" ht="14.5">
      <c r="G245" s="4"/>
      <c r="H245" s="27"/>
      <c r="I245" s="27"/>
      <c r="J245" s="27"/>
    </row>
    <row r="246" spans="7:10" ht="14.5">
      <c r="G246" s="4"/>
      <c r="H246" s="27"/>
      <c r="I246" s="27"/>
      <c r="J246" s="27"/>
    </row>
    <row r="247" spans="7:10" ht="14.5">
      <c r="G247" s="4"/>
      <c r="H247" s="27"/>
      <c r="I247" s="27"/>
      <c r="J247" s="27"/>
    </row>
    <row r="248" spans="7:10" ht="14.5">
      <c r="G248" s="4"/>
      <c r="H248" s="27"/>
      <c r="I248" s="27"/>
      <c r="J248" s="27"/>
    </row>
    <row r="249" spans="7:10" ht="14.5">
      <c r="G249" s="4"/>
      <c r="H249" s="27"/>
      <c r="I249" s="27"/>
      <c r="J249" s="27"/>
    </row>
    <row r="250" spans="7:10" ht="14.5">
      <c r="G250" s="4"/>
      <c r="H250" s="27"/>
      <c r="I250" s="27"/>
      <c r="J250" s="27"/>
    </row>
    <row r="251" spans="7:10" ht="14.5">
      <c r="G251" s="4"/>
      <c r="H251" s="27"/>
      <c r="I251" s="27"/>
      <c r="J251" s="27"/>
    </row>
    <row r="252" spans="7:10" ht="14.5">
      <c r="G252" s="4"/>
      <c r="H252" s="27"/>
      <c r="I252" s="27"/>
      <c r="J252" s="27"/>
    </row>
    <row r="253" spans="7:10" ht="14.5">
      <c r="G253" s="4"/>
      <c r="H253" s="27"/>
      <c r="I253" s="27"/>
      <c r="J253" s="27"/>
    </row>
    <row r="254" spans="7:10" ht="14.5">
      <c r="G254" s="4"/>
      <c r="H254" s="27"/>
      <c r="I254" s="27"/>
      <c r="J254" s="27"/>
    </row>
    <row r="255" spans="7:10" ht="14.5">
      <c r="G255" s="4"/>
      <c r="H255" s="27"/>
      <c r="I255" s="27"/>
      <c r="J255" s="27"/>
    </row>
    <row r="256" spans="7:10" ht="14.5">
      <c r="G256" s="4"/>
      <c r="H256" s="27"/>
      <c r="I256" s="27"/>
      <c r="J256" s="27"/>
    </row>
    <row r="257" spans="7:10" ht="14.5">
      <c r="G257" s="4"/>
      <c r="H257" s="27"/>
      <c r="I257" s="27"/>
      <c r="J257" s="27"/>
    </row>
    <row r="258" spans="7:10" ht="14.5">
      <c r="G258" s="4"/>
      <c r="H258" s="27"/>
      <c r="I258" s="27"/>
      <c r="J258" s="27"/>
    </row>
    <row r="259" spans="7:10" ht="14.5">
      <c r="G259" s="4"/>
      <c r="H259" s="27"/>
      <c r="I259" s="27"/>
      <c r="J259" s="27"/>
    </row>
    <row r="260" spans="7:10" ht="14.5">
      <c r="G260" s="4"/>
      <c r="H260" s="27"/>
      <c r="I260" s="27"/>
      <c r="J260" s="27"/>
    </row>
    <row r="261" spans="7:10" ht="14.5">
      <c r="G261" s="4"/>
      <c r="H261" s="27"/>
      <c r="I261" s="27"/>
      <c r="J261" s="27"/>
    </row>
    <row r="262" spans="7:10" ht="14.5">
      <c r="G262" s="4"/>
      <c r="H262" s="27"/>
      <c r="I262" s="27"/>
      <c r="J262" s="27"/>
    </row>
    <row r="263" spans="7:10" ht="14.5">
      <c r="G263" s="4"/>
      <c r="H263" s="27"/>
      <c r="I263" s="27"/>
      <c r="J263" s="27"/>
    </row>
    <row r="264" spans="7:10" ht="14.5">
      <c r="G264" s="4"/>
      <c r="H264" s="27"/>
      <c r="I264" s="27"/>
      <c r="J264" s="27"/>
    </row>
    <row r="265" spans="7:10" ht="14.5">
      <c r="G265" s="4"/>
      <c r="H265" s="27"/>
      <c r="I265" s="27"/>
      <c r="J265" s="27"/>
    </row>
    <row r="266" spans="7:10" ht="14.5">
      <c r="G266" s="4"/>
      <c r="H266" s="27"/>
      <c r="I266" s="27"/>
      <c r="J266" s="27"/>
    </row>
    <row r="267" spans="7:10" ht="14.5">
      <c r="G267" s="4"/>
      <c r="H267" s="27"/>
      <c r="I267" s="27"/>
      <c r="J267" s="27"/>
    </row>
    <row r="268" spans="7:10" ht="14.5">
      <c r="G268" s="4"/>
      <c r="H268" s="27"/>
      <c r="I268" s="27"/>
      <c r="J268" s="27"/>
    </row>
    <row r="269" spans="7:10" ht="14.5">
      <c r="G269" s="4"/>
      <c r="H269" s="27"/>
      <c r="I269" s="27"/>
      <c r="J269" s="27"/>
    </row>
    <row r="270" spans="7:10" ht="14.5">
      <c r="G270" s="4"/>
      <c r="H270" s="27"/>
      <c r="I270" s="27"/>
      <c r="J270" s="27"/>
    </row>
    <row r="271" spans="7:10" ht="14.5">
      <c r="G271" s="4"/>
      <c r="H271" s="27"/>
      <c r="I271" s="27"/>
      <c r="J271" s="27"/>
    </row>
    <row r="272" spans="7:10" ht="14.5">
      <c r="G272" s="4"/>
      <c r="H272" s="27"/>
      <c r="I272" s="27"/>
      <c r="J272" s="27"/>
    </row>
    <row r="273" spans="7:10" ht="14.5">
      <c r="G273" s="4"/>
      <c r="H273" s="27"/>
      <c r="I273" s="27"/>
      <c r="J273" s="27"/>
    </row>
    <row r="274" spans="7:10" ht="14.5">
      <c r="G274" s="4"/>
      <c r="H274" s="27"/>
      <c r="I274" s="27"/>
      <c r="J274" s="27"/>
    </row>
    <row r="275" spans="7:10" ht="14.5">
      <c r="G275" s="4"/>
      <c r="H275" s="27"/>
      <c r="I275" s="27"/>
      <c r="J275" s="27"/>
    </row>
    <row r="276" spans="7:10" ht="14.5">
      <c r="G276" s="4"/>
      <c r="H276" s="27"/>
      <c r="I276" s="27"/>
      <c r="J276" s="27"/>
    </row>
    <row r="277" spans="7:10" ht="14.5">
      <c r="G277" s="4"/>
      <c r="H277" s="27"/>
      <c r="I277" s="27"/>
      <c r="J277" s="27"/>
    </row>
    <row r="278" spans="7:10" ht="14.5">
      <c r="G278" s="4"/>
      <c r="H278" s="27"/>
      <c r="I278" s="27"/>
      <c r="J278" s="27"/>
    </row>
    <row r="279" spans="7:10" ht="14.5">
      <c r="G279" s="4"/>
      <c r="H279" s="27"/>
      <c r="I279" s="27"/>
      <c r="J279" s="27"/>
    </row>
    <row r="280" spans="7:10" ht="14.5">
      <c r="G280" s="4"/>
      <c r="H280" s="27"/>
      <c r="I280" s="27"/>
      <c r="J280" s="27"/>
    </row>
    <row r="281" spans="7:10" ht="14.5">
      <c r="G281" s="4"/>
      <c r="H281" s="27"/>
      <c r="I281" s="27"/>
      <c r="J281" s="27"/>
    </row>
    <row r="282" spans="7:10" ht="14.5">
      <c r="G282" s="4"/>
      <c r="H282" s="27"/>
      <c r="I282" s="27"/>
      <c r="J282" s="27"/>
    </row>
    <row r="283" spans="7:10" ht="14.5">
      <c r="G283" s="4"/>
      <c r="H283" s="27"/>
      <c r="I283" s="27"/>
      <c r="J283" s="27"/>
    </row>
    <row r="284" spans="7:10" ht="14.5">
      <c r="G284" s="4"/>
      <c r="H284" s="27"/>
      <c r="I284" s="27"/>
      <c r="J284" s="27"/>
    </row>
    <row r="285" spans="7:10" ht="14.5">
      <c r="G285" s="4"/>
      <c r="H285" s="27"/>
      <c r="I285" s="27"/>
      <c r="J285" s="27"/>
    </row>
    <row r="286" spans="7:10" ht="14.5">
      <c r="G286" s="4"/>
      <c r="H286" s="27"/>
      <c r="I286" s="27"/>
      <c r="J286" s="27"/>
    </row>
    <row r="287" spans="7:10" ht="14.5">
      <c r="G287" s="4"/>
      <c r="H287" s="27"/>
      <c r="I287" s="27"/>
      <c r="J287" s="27"/>
    </row>
    <row r="288" spans="7:10" ht="14.5">
      <c r="G288" s="4"/>
      <c r="H288" s="27"/>
      <c r="I288" s="27"/>
      <c r="J288" s="27"/>
    </row>
    <row r="289" spans="7:10" ht="14.5">
      <c r="G289" s="4"/>
      <c r="H289" s="27"/>
      <c r="I289" s="27"/>
      <c r="J289" s="27"/>
    </row>
    <row r="290" spans="7:10" ht="14.5">
      <c r="G290" s="4"/>
      <c r="H290" s="27"/>
      <c r="I290" s="27"/>
      <c r="J290" s="27"/>
    </row>
    <row r="291" spans="7:10" ht="14.5">
      <c r="G291" s="4"/>
      <c r="H291" s="27"/>
      <c r="I291" s="27"/>
      <c r="J291" s="27"/>
    </row>
    <row r="292" spans="7:10" ht="14.5">
      <c r="G292" s="4"/>
      <c r="H292" s="27"/>
      <c r="I292" s="27"/>
      <c r="J292" s="27"/>
    </row>
    <row r="293" spans="7:10" ht="14.5">
      <c r="G293" s="4"/>
      <c r="H293" s="27"/>
      <c r="I293" s="27"/>
      <c r="J293" s="27"/>
    </row>
    <row r="294" spans="7:10" ht="14.5">
      <c r="G294" s="4"/>
      <c r="H294" s="27"/>
      <c r="I294" s="27"/>
      <c r="J294" s="27"/>
    </row>
    <row r="295" spans="7:10" ht="14.5">
      <c r="G295" s="4"/>
      <c r="H295" s="27"/>
      <c r="I295" s="27"/>
      <c r="J295" s="27"/>
    </row>
    <row r="296" spans="7:10" ht="14.5">
      <c r="G296" s="4"/>
      <c r="H296" s="27"/>
      <c r="I296" s="27"/>
      <c r="J296" s="27"/>
    </row>
    <row r="297" spans="7:10" ht="14.5">
      <c r="G297" s="4"/>
      <c r="H297" s="27"/>
      <c r="I297" s="27"/>
      <c r="J297" s="27"/>
    </row>
    <row r="298" spans="7:10" ht="14.5">
      <c r="G298" s="4"/>
      <c r="H298" s="27"/>
      <c r="I298" s="27"/>
      <c r="J298" s="27"/>
    </row>
    <row r="299" spans="7:10" ht="14.5">
      <c r="G299" s="4"/>
      <c r="H299" s="27"/>
      <c r="I299" s="27"/>
      <c r="J299" s="27"/>
    </row>
    <row r="300" spans="7:10" ht="14.5">
      <c r="G300" s="4"/>
      <c r="H300" s="27"/>
      <c r="I300" s="27"/>
      <c r="J300" s="27"/>
    </row>
    <row r="301" spans="7:10" ht="14.5">
      <c r="G301" s="4"/>
      <c r="H301" s="27"/>
      <c r="I301" s="27"/>
      <c r="J301" s="27"/>
    </row>
    <row r="302" spans="7:10" ht="14.5">
      <c r="G302" s="4"/>
      <c r="H302" s="27"/>
      <c r="I302" s="27"/>
      <c r="J302" s="27"/>
    </row>
    <row r="303" spans="7:10" ht="14.5">
      <c r="G303" s="4"/>
      <c r="H303" s="27"/>
      <c r="I303" s="27"/>
      <c r="J303" s="27"/>
    </row>
    <row r="304" spans="7:10" ht="14.5">
      <c r="G304" s="4"/>
      <c r="H304" s="27"/>
      <c r="I304" s="27"/>
      <c r="J304" s="27"/>
    </row>
    <row r="305" spans="7:10" ht="14.5">
      <c r="G305" s="4"/>
      <c r="H305" s="27"/>
      <c r="I305" s="27"/>
      <c r="J305" s="27"/>
    </row>
    <row r="306" spans="7:10" ht="14.5">
      <c r="G306" s="4"/>
      <c r="H306" s="27"/>
      <c r="I306" s="27"/>
      <c r="J306" s="27"/>
    </row>
    <row r="307" spans="7:10" ht="14.5">
      <c r="G307" s="4"/>
      <c r="H307" s="27"/>
      <c r="I307" s="27"/>
      <c r="J307" s="27"/>
    </row>
    <row r="308" spans="7:10" ht="14.5">
      <c r="G308" s="4"/>
      <c r="H308" s="27"/>
      <c r="I308" s="27"/>
      <c r="J308" s="27"/>
    </row>
    <row r="309" spans="7:10" ht="14.5">
      <c r="G309" s="4"/>
      <c r="H309" s="27"/>
      <c r="I309" s="27"/>
      <c r="J309" s="27"/>
    </row>
    <row r="310" spans="7:10" ht="14.5">
      <c r="G310" s="4"/>
      <c r="H310" s="27"/>
      <c r="I310" s="27"/>
      <c r="J310" s="27"/>
    </row>
    <row r="311" spans="7:10" ht="14.5">
      <c r="G311" s="4"/>
      <c r="H311" s="27"/>
      <c r="I311" s="27"/>
      <c r="J311" s="27"/>
    </row>
    <row r="312" spans="7:10" ht="14.5">
      <c r="G312" s="4"/>
      <c r="H312" s="27"/>
      <c r="I312" s="27"/>
      <c r="J312" s="27"/>
    </row>
    <row r="313" spans="7:10" ht="14.5">
      <c r="G313" s="4"/>
      <c r="H313" s="27"/>
      <c r="I313" s="27"/>
      <c r="J313" s="27"/>
    </row>
    <row r="314" spans="7:10" ht="14.5">
      <c r="G314" s="4"/>
      <c r="H314" s="27"/>
      <c r="I314" s="27"/>
      <c r="J314" s="27"/>
    </row>
    <row r="315" spans="7:10" ht="14.5">
      <c r="G315" s="4"/>
      <c r="H315" s="27"/>
      <c r="I315" s="27"/>
      <c r="J315" s="27"/>
    </row>
    <row r="316" spans="7:10" ht="14.5">
      <c r="G316" s="4"/>
      <c r="H316" s="27"/>
      <c r="I316" s="27"/>
      <c r="J316" s="27"/>
    </row>
    <row r="317" spans="7:10" ht="14.5">
      <c r="G317" s="4"/>
      <c r="H317" s="27"/>
      <c r="I317" s="27"/>
      <c r="J317" s="27"/>
    </row>
    <row r="318" spans="7:10" ht="14.5">
      <c r="G318" s="4"/>
      <c r="H318" s="27"/>
      <c r="I318" s="27"/>
      <c r="J318" s="27"/>
    </row>
    <row r="319" spans="7:10" ht="14.5">
      <c r="G319" s="4"/>
      <c r="H319" s="27"/>
      <c r="I319" s="27"/>
      <c r="J319" s="27"/>
    </row>
    <row r="320" spans="7:10" ht="14.5">
      <c r="G320" s="4"/>
      <c r="H320" s="27"/>
      <c r="I320" s="27"/>
      <c r="J320" s="27"/>
    </row>
    <row r="321" spans="7:10" ht="14.5">
      <c r="G321" s="4"/>
      <c r="H321" s="27"/>
      <c r="I321" s="27"/>
      <c r="J321" s="27"/>
    </row>
    <row r="322" spans="7:10" ht="14.5">
      <c r="G322" s="4"/>
      <c r="H322" s="27"/>
      <c r="I322" s="27"/>
      <c r="J322" s="27"/>
    </row>
    <row r="323" spans="7:10" ht="14.5">
      <c r="G323" s="4"/>
      <c r="H323" s="27"/>
      <c r="I323" s="27"/>
      <c r="J323" s="27"/>
    </row>
    <row r="324" spans="7:10" ht="14.5">
      <c r="G324" s="4"/>
      <c r="H324" s="27"/>
      <c r="I324" s="27"/>
      <c r="J324" s="27"/>
    </row>
    <row r="325" spans="7:10" ht="14.5">
      <c r="G325" s="4"/>
      <c r="H325" s="27"/>
      <c r="I325" s="27"/>
      <c r="J325" s="27"/>
    </row>
    <row r="326" spans="7:10" ht="14.5">
      <c r="G326" s="4"/>
      <c r="H326" s="27"/>
      <c r="I326" s="27"/>
      <c r="J326" s="27"/>
    </row>
    <row r="327" spans="7:10" ht="14.5">
      <c r="G327" s="4"/>
      <c r="H327" s="27"/>
      <c r="I327" s="27"/>
      <c r="J327" s="27"/>
    </row>
    <row r="328" spans="7:10" ht="14.5">
      <c r="G328" s="4"/>
      <c r="H328" s="27"/>
      <c r="I328" s="27"/>
      <c r="J328" s="27"/>
    </row>
    <row r="329" spans="7:10" ht="14.5">
      <c r="G329" s="4"/>
      <c r="H329" s="27"/>
      <c r="I329" s="27"/>
      <c r="J329" s="27"/>
    </row>
    <row r="330" spans="7:10" ht="14.5">
      <c r="G330" s="4"/>
      <c r="H330" s="27"/>
      <c r="I330" s="27"/>
      <c r="J330" s="27"/>
    </row>
    <row r="331" spans="7:10" ht="14.5">
      <c r="G331" s="4"/>
      <c r="H331" s="27"/>
      <c r="I331" s="27"/>
      <c r="J331" s="27"/>
    </row>
    <row r="332" spans="7:10" ht="14.5">
      <c r="G332" s="4"/>
      <c r="H332" s="27"/>
      <c r="I332" s="27"/>
      <c r="J332" s="27"/>
    </row>
    <row r="333" spans="7:10" ht="14.5">
      <c r="G333" s="4"/>
      <c r="H333" s="27"/>
      <c r="I333" s="27"/>
      <c r="J333" s="27"/>
    </row>
    <row r="334" spans="7:10" ht="14.5">
      <c r="G334" s="4"/>
      <c r="H334" s="27"/>
      <c r="I334" s="27"/>
      <c r="J334" s="27"/>
    </row>
    <row r="335" spans="7:10" ht="14.5">
      <c r="G335" s="4"/>
      <c r="H335" s="27"/>
      <c r="I335" s="27"/>
      <c r="J335" s="27"/>
    </row>
    <row r="336" spans="7:10" ht="14.5">
      <c r="G336" s="4"/>
      <c r="H336" s="27"/>
      <c r="I336" s="27"/>
      <c r="J336" s="27"/>
    </row>
    <row r="337" spans="7:10" ht="14.5">
      <c r="G337" s="4"/>
      <c r="H337" s="27"/>
      <c r="I337" s="27"/>
      <c r="J337" s="27"/>
    </row>
    <row r="338" spans="7:10" ht="14.5">
      <c r="G338" s="4"/>
      <c r="H338" s="27"/>
      <c r="I338" s="27"/>
      <c r="J338" s="27"/>
    </row>
    <row r="339" spans="7:10" ht="14.5">
      <c r="G339" s="4"/>
      <c r="H339" s="27"/>
      <c r="I339" s="27"/>
      <c r="J339" s="27"/>
    </row>
    <row r="340" spans="7:10" ht="14.5">
      <c r="G340" s="4"/>
      <c r="H340" s="27"/>
      <c r="I340" s="27"/>
      <c r="J340" s="27"/>
    </row>
    <row r="341" spans="7:10" ht="14.5">
      <c r="G341" s="4"/>
      <c r="H341" s="27"/>
      <c r="I341" s="27"/>
      <c r="J341" s="27"/>
    </row>
    <row r="342" spans="7:10" ht="14.5">
      <c r="G342" s="4"/>
      <c r="H342" s="27"/>
      <c r="I342" s="27"/>
      <c r="J342" s="27"/>
    </row>
    <row r="343" spans="7:10" ht="14.5">
      <c r="G343" s="4"/>
      <c r="H343" s="27"/>
      <c r="I343" s="27"/>
      <c r="J343" s="27"/>
    </row>
    <row r="344" spans="7:10" ht="14.5">
      <c r="G344" s="4"/>
      <c r="H344" s="27"/>
      <c r="I344" s="27"/>
      <c r="J344" s="27"/>
    </row>
    <row r="345" spans="7:10" ht="14.5">
      <c r="G345" s="4"/>
      <c r="H345" s="27"/>
      <c r="I345" s="27"/>
      <c r="J345" s="27"/>
    </row>
    <row r="346" spans="7:10" ht="14.5">
      <c r="G346" s="4"/>
      <c r="H346" s="27"/>
      <c r="I346" s="27"/>
      <c r="J346" s="27"/>
    </row>
    <row r="347" spans="7:10" ht="14.5">
      <c r="G347" s="4"/>
      <c r="H347" s="27"/>
      <c r="I347" s="27"/>
      <c r="J347" s="27"/>
    </row>
    <row r="348" spans="7:10" ht="14.5">
      <c r="G348" s="4"/>
      <c r="H348" s="27"/>
      <c r="I348" s="27"/>
      <c r="J348" s="27"/>
    </row>
    <row r="349" spans="7:10" ht="14.5">
      <c r="G349" s="4"/>
      <c r="H349" s="27"/>
      <c r="I349" s="27"/>
      <c r="J349" s="27"/>
    </row>
    <row r="350" spans="7:10" ht="14.5">
      <c r="G350" s="4"/>
      <c r="H350" s="27"/>
      <c r="I350" s="27"/>
      <c r="J350" s="27"/>
    </row>
    <row r="351" spans="7:10" ht="14.5">
      <c r="G351" s="4"/>
      <c r="H351" s="27"/>
      <c r="I351" s="27"/>
      <c r="J351" s="27"/>
    </row>
    <row r="352" spans="7:10" ht="14.5">
      <c r="G352" s="4"/>
      <c r="H352" s="27"/>
      <c r="I352" s="27"/>
      <c r="J352" s="27"/>
    </row>
    <row r="353" spans="7:10" ht="14.5">
      <c r="G353" s="4"/>
      <c r="H353" s="27"/>
      <c r="I353" s="27"/>
      <c r="J353" s="27"/>
    </row>
    <row r="354" spans="7:10" ht="14.5">
      <c r="G354" s="4"/>
      <c r="H354" s="27"/>
      <c r="I354" s="27"/>
      <c r="J354" s="27"/>
    </row>
    <row r="355" spans="7:10" ht="14.5">
      <c r="G355" s="4"/>
      <c r="H355" s="27"/>
      <c r="I355" s="27"/>
      <c r="J355" s="27"/>
    </row>
    <row r="356" spans="7:10" ht="14.5">
      <c r="G356" s="4"/>
      <c r="H356" s="27"/>
      <c r="I356" s="27"/>
      <c r="J356" s="27"/>
    </row>
    <row r="357" spans="7:10" ht="14.5">
      <c r="G357" s="4"/>
      <c r="H357" s="27"/>
      <c r="I357" s="27"/>
      <c r="J357" s="27"/>
    </row>
    <row r="358" spans="7:10" ht="14.5">
      <c r="G358" s="4"/>
      <c r="H358" s="27"/>
      <c r="I358" s="27"/>
      <c r="J358" s="27"/>
    </row>
    <row r="359" spans="7:10" ht="14.5">
      <c r="G359" s="4"/>
      <c r="H359" s="27"/>
      <c r="I359" s="27"/>
      <c r="J359" s="27"/>
    </row>
    <row r="360" spans="7:10" ht="14.5">
      <c r="G360" s="4"/>
      <c r="H360" s="27"/>
      <c r="I360" s="27"/>
      <c r="J360" s="27"/>
    </row>
    <row r="361" spans="7:10" ht="14.5">
      <c r="G361" s="4"/>
      <c r="H361" s="27"/>
      <c r="I361" s="27"/>
      <c r="J361" s="27"/>
    </row>
    <row r="362" spans="7:10" ht="14.5">
      <c r="G362" s="4"/>
      <c r="H362" s="27"/>
      <c r="I362" s="27"/>
      <c r="J362" s="27"/>
    </row>
    <row r="363" spans="7:10" ht="14.5">
      <c r="G363" s="4"/>
      <c r="H363" s="27"/>
      <c r="I363" s="27"/>
      <c r="J363" s="27"/>
    </row>
    <row r="364" spans="7:10" ht="14.5">
      <c r="G364" s="4"/>
      <c r="H364" s="27"/>
      <c r="I364" s="27"/>
      <c r="J364" s="27"/>
    </row>
    <row r="365" spans="7:10" ht="14.5">
      <c r="G365" s="4"/>
      <c r="H365" s="27"/>
      <c r="I365" s="27"/>
      <c r="J365" s="27"/>
    </row>
    <row r="366" spans="7:10" ht="14.5">
      <c r="G366" s="4"/>
      <c r="H366" s="27"/>
      <c r="I366" s="27"/>
      <c r="J366" s="27"/>
    </row>
    <row r="367" spans="7:10" ht="14.5">
      <c r="G367" s="4"/>
      <c r="H367" s="27"/>
      <c r="I367" s="27"/>
      <c r="J367" s="27"/>
    </row>
    <row r="368" spans="7:10" ht="14.5">
      <c r="G368" s="4"/>
      <c r="H368" s="27"/>
      <c r="I368" s="27"/>
      <c r="J368" s="27"/>
    </row>
    <row r="369" spans="7:10" ht="14.5">
      <c r="G369" s="4"/>
      <c r="H369" s="27"/>
      <c r="I369" s="27"/>
      <c r="J369" s="27"/>
    </row>
    <row r="370" spans="7:10" ht="14.5">
      <c r="G370" s="4"/>
      <c r="H370" s="27"/>
      <c r="I370" s="27"/>
      <c r="J370" s="27"/>
    </row>
    <row r="371" spans="7:10" ht="14.5">
      <c r="G371" s="4"/>
      <c r="H371" s="27"/>
      <c r="I371" s="27"/>
      <c r="J371" s="27"/>
    </row>
    <row r="372" spans="7:10" ht="14.5">
      <c r="G372" s="4"/>
      <c r="H372" s="27"/>
      <c r="I372" s="27"/>
      <c r="J372" s="27"/>
    </row>
    <row r="373" spans="7:10" ht="14.5">
      <c r="G373" s="4"/>
      <c r="H373" s="27"/>
      <c r="I373" s="27"/>
      <c r="J373" s="27"/>
    </row>
    <row r="374" spans="7:10" ht="14.5">
      <c r="G374" s="4"/>
      <c r="H374" s="27"/>
      <c r="I374" s="27"/>
      <c r="J374" s="27"/>
    </row>
    <row r="375" spans="7:10" ht="14.5">
      <c r="G375" s="4"/>
      <c r="H375" s="27"/>
      <c r="I375" s="27"/>
      <c r="J375" s="27"/>
    </row>
    <row r="376" spans="7:10" ht="14.5">
      <c r="G376" s="4"/>
      <c r="H376" s="27"/>
      <c r="I376" s="27"/>
      <c r="J376" s="27"/>
    </row>
    <row r="377" spans="7:10" ht="14.5">
      <c r="G377" s="4"/>
      <c r="H377" s="27"/>
      <c r="I377" s="27"/>
      <c r="J377" s="27"/>
    </row>
    <row r="378" spans="7:10" ht="14.5">
      <c r="G378" s="4"/>
      <c r="H378" s="27"/>
      <c r="I378" s="27"/>
      <c r="J378" s="27"/>
    </row>
    <row r="379" spans="7:10" ht="14.5">
      <c r="G379" s="4"/>
      <c r="H379" s="27"/>
      <c r="I379" s="27"/>
      <c r="J379" s="27"/>
    </row>
    <row r="380" spans="7:10" ht="14.5">
      <c r="G380" s="4"/>
      <c r="H380" s="27"/>
      <c r="I380" s="27"/>
      <c r="J380" s="27"/>
    </row>
    <row r="381" spans="7:10" ht="14.5">
      <c r="G381" s="4"/>
      <c r="H381" s="27"/>
      <c r="I381" s="27"/>
      <c r="J381" s="27"/>
    </row>
    <row r="382" spans="7:10" ht="14.5">
      <c r="G382" s="4"/>
      <c r="H382" s="27"/>
      <c r="I382" s="27"/>
      <c r="J382" s="27"/>
    </row>
    <row r="383" spans="7:10" ht="14.5">
      <c r="G383" s="4"/>
      <c r="H383" s="27"/>
      <c r="I383" s="27"/>
      <c r="J383" s="27"/>
    </row>
    <row r="384" spans="7:10" ht="14.5">
      <c r="G384" s="4"/>
      <c r="H384" s="27"/>
      <c r="I384" s="27"/>
      <c r="J384" s="27"/>
    </row>
    <row r="385" spans="7:10" ht="14.5">
      <c r="G385" s="4"/>
      <c r="H385" s="27"/>
      <c r="I385" s="27"/>
      <c r="J385" s="27"/>
    </row>
    <row r="386" spans="7:10" ht="14.5">
      <c r="G386" s="4"/>
      <c r="H386" s="27"/>
      <c r="I386" s="27"/>
      <c r="J386" s="27"/>
    </row>
    <row r="387" spans="7:10" ht="14.5">
      <c r="G387" s="4"/>
      <c r="H387" s="27"/>
      <c r="I387" s="27"/>
      <c r="J387" s="27"/>
    </row>
    <row r="388" spans="7:10" ht="14.5">
      <c r="G388" s="4"/>
      <c r="H388" s="27"/>
      <c r="I388" s="27"/>
      <c r="J388" s="27"/>
    </row>
    <row r="389" spans="7:10" ht="14.5">
      <c r="G389" s="4"/>
      <c r="H389" s="27"/>
      <c r="I389" s="27"/>
      <c r="J389" s="27"/>
    </row>
    <row r="390" spans="7:10" ht="14.5">
      <c r="G390" s="4"/>
      <c r="H390" s="27"/>
      <c r="I390" s="27"/>
      <c r="J390" s="27"/>
    </row>
    <row r="391" spans="7:10" ht="14.5">
      <c r="G391" s="4"/>
      <c r="H391" s="27"/>
      <c r="I391" s="27"/>
      <c r="J391" s="27"/>
    </row>
    <row r="392" spans="7:10" ht="14.5">
      <c r="G392" s="4"/>
      <c r="H392" s="27"/>
      <c r="I392" s="27"/>
      <c r="J392" s="27"/>
    </row>
    <row r="393" spans="7:10" ht="14.5">
      <c r="G393" s="4"/>
      <c r="H393" s="27"/>
      <c r="I393" s="27"/>
      <c r="J393" s="27"/>
    </row>
    <row r="394" spans="7:10" ht="14.5">
      <c r="G394" s="4"/>
      <c r="H394" s="27"/>
      <c r="I394" s="27"/>
      <c r="J394" s="27"/>
    </row>
    <row r="395" spans="7:10" ht="14.5">
      <c r="G395" s="4"/>
      <c r="H395" s="27"/>
      <c r="I395" s="27"/>
      <c r="J395" s="27"/>
    </row>
    <row r="396" spans="7:10" ht="14.5">
      <c r="G396" s="4"/>
      <c r="H396" s="27"/>
      <c r="I396" s="27"/>
      <c r="J396" s="27"/>
    </row>
    <row r="397" spans="7:10" ht="14.5">
      <c r="G397" s="4"/>
      <c r="H397" s="27"/>
      <c r="I397" s="27"/>
      <c r="J397" s="27"/>
    </row>
    <row r="398" spans="7:10" ht="14.5">
      <c r="G398" s="4"/>
      <c r="H398" s="27"/>
      <c r="I398" s="27"/>
      <c r="J398" s="27"/>
    </row>
    <row r="399" spans="7:10" ht="14.5">
      <c r="G399" s="4"/>
      <c r="H399" s="27"/>
      <c r="I399" s="27"/>
      <c r="J399" s="27"/>
    </row>
    <row r="400" spans="7:10" ht="14.5">
      <c r="G400" s="4"/>
      <c r="H400" s="27"/>
      <c r="I400" s="27"/>
      <c r="J400" s="27"/>
    </row>
    <row r="401" spans="7:10" ht="14.5">
      <c r="G401" s="4"/>
      <c r="H401" s="27"/>
      <c r="I401" s="27"/>
      <c r="J401" s="27"/>
    </row>
    <row r="402" spans="7:10" ht="14.5">
      <c r="G402" s="4"/>
      <c r="H402" s="27"/>
      <c r="I402" s="27"/>
      <c r="J402" s="27"/>
    </row>
    <row r="403" spans="7:10" ht="14.5">
      <c r="G403" s="4"/>
      <c r="H403" s="27"/>
      <c r="I403" s="27"/>
      <c r="J403" s="27"/>
    </row>
    <row r="404" spans="7:10" ht="14.5">
      <c r="G404" s="4"/>
      <c r="H404" s="27"/>
      <c r="I404" s="27"/>
      <c r="J404" s="27"/>
    </row>
  </sheetData>
  <phoneticPr fontId="6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>
      <selection activeCell="G20" sqref="G20"/>
    </sheetView>
  </sheetViews>
  <sheetFormatPr defaultRowHeight="14"/>
  <cols>
    <col min="1" max="1" width="9" customWidth="1"/>
    <col min="2" max="2" width="22" customWidth="1"/>
    <col min="3" max="3" width="10" customWidth="1"/>
    <col min="4" max="4" width="11" customWidth="1"/>
    <col min="5" max="5" width="10" customWidth="1"/>
    <col min="6" max="6" width="14" customWidth="1"/>
    <col min="7" max="7" width="10" customWidth="1"/>
    <col min="8" max="8" width="14" customWidth="1"/>
  </cols>
  <sheetData>
    <row r="1" spans="1:8" ht="30" customHeight="1">
      <c r="A1" s="23" t="s">
        <v>361</v>
      </c>
      <c r="B1" s="22"/>
      <c r="C1" s="22"/>
      <c r="D1" s="22"/>
      <c r="E1" s="22"/>
      <c r="F1" s="22"/>
      <c r="G1" s="22"/>
      <c r="H1" s="22"/>
    </row>
    <row r="2" spans="1:8">
      <c r="A2" s="21" t="s">
        <v>362</v>
      </c>
      <c r="B2" s="22"/>
      <c r="C2" s="22"/>
      <c r="D2" s="22"/>
      <c r="E2" s="22"/>
      <c r="F2" s="22"/>
      <c r="G2" s="22"/>
      <c r="H2" s="22"/>
    </row>
    <row r="3" spans="1:8" ht="24" customHeight="1">
      <c r="A3" s="1" t="s">
        <v>2</v>
      </c>
      <c r="B3" s="1" t="s">
        <v>3</v>
      </c>
      <c r="C3" s="1" t="s">
        <v>363</v>
      </c>
      <c r="D3" s="1" t="s">
        <v>364</v>
      </c>
      <c r="E3" s="1" t="s">
        <v>365</v>
      </c>
      <c r="F3" s="1" t="s">
        <v>366</v>
      </c>
      <c r="G3" s="1" t="s">
        <v>367</v>
      </c>
      <c r="H3" s="1" t="s">
        <v>368</v>
      </c>
    </row>
    <row r="4" spans="1:8" ht="14.5">
      <c r="A4" s="2" t="s">
        <v>76</v>
      </c>
      <c r="B4" s="4" t="s">
        <v>77</v>
      </c>
      <c r="C4" s="2" t="s">
        <v>38</v>
      </c>
      <c r="D4" s="2" t="s">
        <v>369</v>
      </c>
      <c r="E4" s="2" t="s">
        <v>370</v>
      </c>
      <c r="F4" s="12">
        <v>55</v>
      </c>
      <c r="G4" s="2">
        <v>30</v>
      </c>
      <c r="H4" s="3">
        <v>43536</v>
      </c>
    </row>
    <row r="5" spans="1:8" ht="14.5">
      <c r="A5" s="6" t="s">
        <v>16</v>
      </c>
      <c r="B5" s="8" t="s">
        <v>17</v>
      </c>
      <c r="C5" s="6" t="s">
        <v>19</v>
      </c>
      <c r="D5" s="6" t="s">
        <v>371</v>
      </c>
      <c r="E5" s="6" t="s">
        <v>372</v>
      </c>
      <c r="F5" s="13">
        <v>32</v>
      </c>
      <c r="G5" s="6">
        <v>45</v>
      </c>
      <c r="H5" s="7">
        <v>43983</v>
      </c>
    </row>
    <row r="6" spans="1:8" ht="14.5">
      <c r="A6" s="2" t="s">
        <v>9</v>
      </c>
      <c r="B6" s="4" t="s">
        <v>10</v>
      </c>
      <c r="C6" s="2" t="s">
        <v>25</v>
      </c>
      <c r="D6" s="2" t="s">
        <v>373</v>
      </c>
      <c r="E6" s="2" t="s">
        <v>370</v>
      </c>
      <c r="F6" s="12">
        <v>60</v>
      </c>
      <c r="G6" s="2">
        <v>30</v>
      </c>
      <c r="H6" s="3">
        <v>43363</v>
      </c>
    </row>
    <row r="7" spans="1:8" ht="14.5">
      <c r="A7" s="6" t="s">
        <v>149</v>
      </c>
      <c r="B7" s="8" t="s">
        <v>150</v>
      </c>
      <c r="C7" s="6" t="s">
        <v>25</v>
      </c>
      <c r="D7" s="6" t="s">
        <v>369</v>
      </c>
      <c r="E7" s="6" t="s">
        <v>372</v>
      </c>
      <c r="F7" s="13">
        <v>40</v>
      </c>
      <c r="G7" s="6">
        <v>30</v>
      </c>
      <c r="H7" s="7">
        <v>44211</v>
      </c>
    </row>
    <row r="8" spans="1:8" ht="14.5">
      <c r="A8" s="2" t="s">
        <v>60</v>
      </c>
      <c r="B8" s="4" t="s">
        <v>61</v>
      </c>
      <c r="C8" s="2" t="s">
        <v>19</v>
      </c>
      <c r="D8" s="2" t="s">
        <v>369</v>
      </c>
      <c r="E8" s="2" t="s">
        <v>370</v>
      </c>
      <c r="F8" s="12">
        <v>50</v>
      </c>
      <c r="G8" s="2">
        <v>60</v>
      </c>
      <c r="H8" s="3">
        <v>44143</v>
      </c>
    </row>
    <row r="9" spans="1:8" ht="14.5">
      <c r="A9" s="6" t="s">
        <v>71</v>
      </c>
      <c r="B9" s="8" t="s">
        <v>72</v>
      </c>
      <c r="C9" s="6" t="s">
        <v>68</v>
      </c>
      <c r="D9" s="6" t="s">
        <v>371</v>
      </c>
      <c r="E9" s="6" t="s">
        <v>374</v>
      </c>
      <c r="F9" s="13">
        <v>20</v>
      </c>
      <c r="G9" s="6">
        <v>45</v>
      </c>
      <c r="H9" s="7">
        <v>44625</v>
      </c>
    </row>
    <row r="10" spans="1:8" ht="14.5">
      <c r="A10" s="2" t="s">
        <v>52</v>
      </c>
      <c r="B10" s="4" t="s">
        <v>53</v>
      </c>
      <c r="C10" s="2" t="s">
        <v>45</v>
      </c>
      <c r="D10" s="2" t="s">
        <v>375</v>
      </c>
      <c r="E10" s="2" t="s">
        <v>372</v>
      </c>
      <c r="F10" s="12">
        <v>35</v>
      </c>
      <c r="G10" s="2">
        <v>60</v>
      </c>
      <c r="H10" s="3">
        <v>43668</v>
      </c>
    </row>
    <row r="11" spans="1:8" ht="14.5">
      <c r="A11" s="6" t="s">
        <v>125</v>
      </c>
      <c r="B11" s="8" t="s">
        <v>126</v>
      </c>
      <c r="C11" s="6" t="s">
        <v>19</v>
      </c>
      <c r="D11" s="6" t="s">
        <v>369</v>
      </c>
      <c r="E11" s="6" t="s">
        <v>374</v>
      </c>
      <c r="F11" s="13">
        <v>25</v>
      </c>
      <c r="G11" s="6">
        <v>30</v>
      </c>
      <c r="H11" s="7">
        <v>44438</v>
      </c>
    </row>
    <row r="12" spans="1:8" ht="14.5">
      <c r="A12" s="2" t="s">
        <v>107</v>
      </c>
      <c r="B12" s="4" t="s">
        <v>108</v>
      </c>
      <c r="C12" s="2" t="s">
        <v>38</v>
      </c>
      <c r="D12" s="2" t="s">
        <v>376</v>
      </c>
      <c r="E12" s="2" t="s">
        <v>374</v>
      </c>
      <c r="F12" s="12">
        <v>15</v>
      </c>
      <c r="G12" s="2">
        <v>45</v>
      </c>
      <c r="H12" s="3">
        <v>44698</v>
      </c>
    </row>
    <row r="13" spans="1:8" ht="14.5">
      <c r="A13" s="6" t="s">
        <v>98</v>
      </c>
      <c r="B13" s="8" t="s">
        <v>99</v>
      </c>
      <c r="C13" s="6" t="s">
        <v>19</v>
      </c>
      <c r="D13" s="6" t="s">
        <v>375</v>
      </c>
      <c r="E13" s="6" t="s">
        <v>370</v>
      </c>
      <c r="F13" s="13">
        <v>55</v>
      </c>
      <c r="G13" s="6">
        <v>30</v>
      </c>
      <c r="H13" s="7">
        <v>43887</v>
      </c>
    </row>
    <row r="14" spans="1:8" ht="14.5">
      <c r="A14" s="2" t="s">
        <v>65</v>
      </c>
      <c r="B14" s="4" t="s">
        <v>66</v>
      </c>
      <c r="C14" s="2" t="s">
        <v>68</v>
      </c>
      <c r="D14" s="2" t="s">
        <v>371</v>
      </c>
      <c r="E14" s="2" t="s">
        <v>372</v>
      </c>
      <c r="F14" s="12">
        <v>28</v>
      </c>
      <c r="G14" s="2">
        <v>45</v>
      </c>
      <c r="H14" s="3">
        <v>44480</v>
      </c>
    </row>
    <row r="15" spans="1:8" ht="14.5">
      <c r="A15" s="6" t="s">
        <v>31</v>
      </c>
      <c r="B15" s="8" t="s">
        <v>32</v>
      </c>
      <c r="C15" s="6" t="s">
        <v>45</v>
      </c>
      <c r="D15" s="6" t="s">
        <v>369</v>
      </c>
      <c r="E15" s="6" t="s">
        <v>372</v>
      </c>
      <c r="F15" s="13">
        <v>32</v>
      </c>
      <c r="G15" s="6">
        <v>30</v>
      </c>
      <c r="H15" s="7">
        <v>44168</v>
      </c>
    </row>
    <row r="16" spans="1:8" ht="14.5">
      <c r="A16" s="2" t="s">
        <v>139</v>
      </c>
      <c r="B16" s="4" t="s">
        <v>140</v>
      </c>
      <c r="C16" s="2" t="s">
        <v>38</v>
      </c>
      <c r="D16" s="2" t="s">
        <v>371</v>
      </c>
      <c r="E16" s="2" t="s">
        <v>374</v>
      </c>
      <c r="F16" s="12">
        <v>18</v>
      </c>
      <c r="G16" s="2">
        <v>60</v>
      </c>
      <c r="H16" s="3">
        <v>44782</v>
      </c>
    </row>
    <row r="17" spans="1:8" ht="14.5">
      <c r="A17" s="6" t="s">
        <v>113</v>
      </c>
      <c r="B17" s="8" t="s">
        <v>114</v>
      </c>
      <c r="C17" s="6" t="s">
        <v>19</v>
      </c>
      <c r="D17" s="6" t="s">
        <v>375</v>
      </c>
      <c r="E17" s="6" t="s">
        <v>372</v>
      </c>
      <c r="F17" s="13">
        <v>36</v>
      </c>
      <c r="G17" s="6">
        <v>45</v>
      </c>
      <c r="H17" s="7">
        <v>43796</v>
      </c>
    </row>
    <row r="18" spans="1:8" ht="14.5">
      <c r="A18" s="2" t="s">
        <v>142</v>
      </c>
      <c r="B18" s="4" t="s">
        <v>143</v>
      </c>
      <c r="C18" s="2" t="s">
        <v>25</v>
      </c>
      <c r="D18" s="2" t="s">
        <v>375</v>
      </c>
      <c r="E18" s="2" t="s">
        <v>370</v>
      </c>
      <c r="F18" s="12">
        <v>48</v>
      </c>
      <c r="G18" s="2">
        <v>30</v>
      </c>
      <c r="H18" s="3">
        <v>44304</v>
      </c>
    </row>
    <row r="19" spans="1:8" ht="14.5">
      <c r="A19" s="6" t="s">
        <v>84</v>
      </c>
      <c r="B19" s="8" t="s">
        <v>85</v>
      </c>
      <c r="C19" s="6" t="s">
        <v>68</v>
      </c>
      <c r="D19" s="6" t="s">
        <v>369</v>
      </c>
      <c r="E19" s="6" t="s">
        <v>374</v>
      </c>
      <c r="F19" s="13">
        <v>15</v>
      </c>
      <c r="G19" s="6">
        <v>30</v>
      </c>
      <c r="H19" s="7">
        <v>44811</v>
      </c>
    </row>
    <row r="20" spans="1:8" ht="14.5">
      <c r="A20" s="2" t="s">
        <v>42</v>
      </c>
      <c r="B20" s="4" t="s">
        <v>43</v>
      </c>
      <c r="C20" s="2" t="s">
        <v>45</v>
      </c>
      <c r="D20" s="2" t="s">
        <v>377</v>
      </c>
      <c r="E20" s="2" t="s">
        <v>372</v>
      </c>
      <c r="F20" s="12">
        <v>30</v>
      </c>
      <c r="G20" s="2">
        <v>60</v>
      </c>
      <c r="H20" s="3">
        <v>44057</v>
      </c>
    </row>
    <row r="21" spans="1:8" ht="14.5">
      <c r="A21" s="6" t="s">
        <v>152</v>
      </c>
      <c r="B21" s="8" t="s">
        <v>153</v>
      </c>
      <c r="C21" s="6" t="s">
        <v>25</v>
      </c>
      <c r="D21" s="6" t="s">
        <v>376</v>
      </c>
      <c r="E21" s="6" t="s">
        <v>374</v>
      </c>
      <c r="F21" s="13">
        <v>16</v>
      </c>
      <c r="G21" s="6">
        <v>45</v>
      </c>
      <c r="H21" s="7">
        <v>44532</v>
      </c>
    </row>
    <row r="22" spans="1:8" ht="14.5">
      <c r="A22" s="2" t="s">
        <v>35</v>
      </c>
      <c r="B22" s="4" t="s">
        <v>36</v>
      </c>
      <c r="C22" s="2" t="s">
        <v>38</v>
      </c>
      <c r="D22" s="2" t="s">
        <v>375</v>
      </c>
      <c r="E22" s="2" t="s">
        <v>372</v>
      </c>
      <c r="F22" s="12">
        <v>33</v>
      </c>
      <c r="G22" s="2">
        <v>30</v>
      </c>
      <c r="H22" s="3">
        <v>44370</v>
      </c>
    </row>
    <row r="23" spans="1:8" ht="14.5">
      <c r="A23" s="6" t="s">
        <v>94</v>
      </c>
      <c r="B23" s="8" t="s">
        <v>95</v>
      </c>
      <c r="C23" s="6" t="s">
        <v>19</v>
      </c>
      <c r="D23" s="6" t="s">
        <v>373</v>
      </c>
      <c r="E23" s="6" t="s">
        <v>374</v>
      </c>
      <c r="F23" s="13">
        <v>22</v>
      </c>
      <c r="G23" s="6">
        <v>45</v>
      </c>
      <c r="H23" s="7">
        <v>44571</v>
      </c>
    </row>
  </sheetData>
  <autoFilter ref="A3:H23" xr:uid="{00000000-0009-0000-0000-000001000000}"/>
  <mergeCells count="2">
    <mergeCell ref="A2:H2"/>
    <mergeCell ref="A1:H1"/>
  </mergeCells>
  <phoneticPr fontId="6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G4" sqref="G4"/>
    </sheetView>
  </sheetViews>
  <sheetFormatPr defaultRowHeight="14"/>
  <cols>
    <col min="1" max="1" width="10" customWidth="1"/>
    <col min="2" max="2" width="28" customWidth="1"/>
    <col min="3" max="3" width="10" customWidth="1"/>
    <col min="4" max="5" width="13" customWidth="1"/>
    <col min="6" max="6" width="16" customWidth="1"/>
  </cols>
  <sheetData>
    <row r="1" spans="1:6" ht="30" customHeight="1">
      <c r="A1" s="23" t="s">
        <v>378</v>
      </c>
      <c r="B1" s="22"/>
      <c r="C1" s="22"/>
      <c r="D1" s="22"/>
      <c r="E1" s="22"/>
      <c r="F1" s="22"/>
    </row>
    <row r="2" spans="1:6">
      <c r="A2" s="21" t="s">
        <v>379</v>
      </c>
      <c r="B2" s="22"/>
      <c r="C2" s="22"/>
      <c r="D2" s="22"/>
      <c r="E2" s="22"/>
      <c r="F2" s="22"/>
    </row>
    <row r="3" spans="1:6" ht="24" customHeight="1">
      <c r="A3" s="1" t="s">
        <v>6</v>
      </c>
      <c r="B3" s="1" t="s">
        <v>7</v>
      </c>
      <c r="C3" s="1" t="s">
        <v>380</v>
      </c>
      <c r="D3" s="1" t="s">
        <v>381</v>
      </c>
      <c r="E3" s="1" t="s">
        <v>382</v>
      </c>
      <c r="F3" s="1" t="s">
        <v>383</v>
      </c>
    </row>
    <row r="4" spans="1:6" ht="14.5">
      <c r="A4" s="2" t="s">
        <v>81</v>
      </c>
      <c r="B4" s="4" t="s">
        <v>82</v>
      </c>
      <c r="C4" s="2" t="s">
        <v>384</v>
      </c>
      <c r="D4" s="5">
        <v>2499</v>
      </c>
      <c r="E4" s="5">
        <v>1850</v>
      </c>
      <c r="F4" s="4" t="s">
        <v>385</v>
      </c>
    </row>
    <row r="5" spans="1:6" ht="14.5">
      <c r="A5" s="6" t="s">
        <v>176</v>
      </c>
      <c r="B5" s="8" t="s">
        <v>177</v>
      </c>
      <c r="C5" s="6" t="s">
        <v>384</v>
      </c>
      <c r="D5" s="9">
        <v>3599</v>
      </c>
      <c r="E5" s="9">
        <v>2700</v>
      </c>
      <c r="F5" s="8" t="s">
        <v>386</v>
      </c>
    </row>
    <row r="6" spans="1:6" ht="14.5">
      <c r="A6" s="2" t="s">
        <v>26</v>
      </c>
      <c r="B6" s="4" t="s">
        <v>27</v>
      </c>
      <c r="C6" s="2" t="s">
        <v>384</v>
      </c>
      <c r="D6" s="5">
        <v>899</v>
      </c>
      <c r="E6" s="5">
        <v>620</v>
      </c>
      <c r="F6" s="4" t="s">
        <v>387</v>
      </c>
    </row>
    <row r="7" spans="1:6" ht="14.5">
      <c r="A7" s="6" t="s">
        <v>91</v>
      </c>
      <c r="B7" s="8" t="s">
        <v>102</v>
      </c>
      <c r="C7" s="6" t="s">
        <v>388</v>
      </c>
      <c r="D7" s="9">
        <v>5699</v>
      </c>
      <c r="E7" s="9">
        <v>4800</v>
      </c>
      <c r="F7" s="8" t="s">
        <v>389</v>
      </c>
    </row>
    <row r="8" spans="1:6" ht="14.5">
      <c r="A8" s="2" t="s">
        <v>192</v>
      </c>
      <c r="B8" s="4" t="s">
        <v>193</v>
      </c>
      <c r="C8" s="2" t="s">
        <v>388</v>
      </c>
      <c r="D8" s="5">
        <v>4299</v>
      </c>
      <c r="E8" s="5">
        <v>3500</v>
      </c>
      <c r="F8" s="4" t="s">
        <v>389</v>
      </c>
    </row>
    <row r="9" spans="1:6" ht="14.5">
      <c r="A9" s="6" t="s">
        <v>62</v>
      </c>
      <c r="B9" s="8" t="s">
        <v>63</v>
      </c>
      <c r="C9" s="6" t="s">
        <v>388</v>
      </c>
      <c r="D9" s="9">
        <v>1299</v>
      </c>
      <c r="E9" s="9">
        <v>950</v>
      </c>
      <c r="F9" s="8" t="s">
        <v>390</v>
      </c>
    </row>
    <row r="10" spans="1:6" ht="14.5">
      <c r="A10" s="2" t="s">
        <v>20</v>
      </c>
      <c r="B10" s="4" t="s">
        <v>21</v>
      </c>
      <c r="C10" s="2" t="s">
        <v>388</v>
      </c>
      <c r="D10" s="5">
        <v>299</v>
      </c>
      <c r="E10" s="5">
        <v>190</v>
      </c>
      <c r="F10" s="4" t="s">
        <v>391</v>
      </c>
    </row>
    <row r="11" spans="1:6" ht="14.5">
      <c r="A11" s="6" t="s">
        <v>39</v>
      </c>
      <c r="B11" s="8" t="s">
        <v>40</v>
      </c>
      <c r="C11" s="6" t="s">
        <v>392</v>
      </c>
      <c r="D11" s="9">
        <v>128</v>
      </c>
      <c r="E11" s="9">
        <v>95</v>
      </c>
      <c r="F11" s="8" t="s">
        <v>387</v>
      </c>
    </row>
    <row r="12" spans="1:6" ht="14.5">
      <c r="A12" s="2" t="s">
        <v>73</v>
      </c>
      <c r="B12" s="4" t="s">
        <v>74</v>
      </c>
      <c r="C12" s="2" t="s">
        <v>392</v>
      </c>
      <c r="D12" s="5">
        <v>385</v>
      </c>
      <c r="E12" s="5">
        <v>260</v>
      </c>
      <c r="F12" s="4" t="s">
        <v>393</v>
      </c>
    </row>
    <row r="13" spans="1:6" ht="14.5">
      <c r="A13" s="6" t="s">
        <v>48</v>
      </c>
      <c r="B13" s="8" t="s">
        <v>49</v>
      </c>
      <c r="C13" s="6" t="s">
        <v>392</v>
      </c>
      <c r="D13" s="9">
        <v>45</v>
      </c>
      <c r="E13" s="9">
        <v>28</v>
      </c>
      <c r="F13" s="8" t="s">
        <v>394</v>
      </c>
    </row>
    <row r="14" spans="1:6" ht="14.5">
      <c r="A14" s="2" t="s">
        <v>12</v>
      </c>
      <c r="B14" s="4" t="s">
        <v>13</v>
      </c>
      <c r="C14" s="2" t="s">
        <v>395</v>
      </c>
      <c r="D14" s="5">
        <v>699</v>
      </c>
      <c r="E14" s="5">
        <v>300</v>
      </c>
      <c r="F14" s="4" t="s">
        <v>396</v>
      </c>
    </row>
    <row r="15" spans="1:6" ht="14.5">
      <c r="A15" s="6" t="s">
        <v>57</v>
      </c>
      <c r="B15" s="8" t="s">
        <v>123</v>
      </c>
      <c r="C15" s="6" t="s">
        <v>395</v>
      </c>
      <c r="D15" s="9">
        <v>599</v>
      </c>
      <c r="E15" s="9">
        <v>250</v>
      </c>
      <c r="F15" s="8" t="s">
        <v>397</v>
      </c>
    </row>
  </sheetData>
  <autoFilter ref="A3:F15" xr:uid="{00000000-0009-0000-0000-000002000000}"/>
  <mergeCells count="2">
    <mergeCell ref="A2:F2"/>
    <mergeCell ref="A1:F1"/>
  </mergeCells>
  <phoneticPr fontId="6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4"/>
  <cols>
    <col min="1" max="1" width="13" customWidth="1"/>
    <col min="2" max="2" width="10" customWidth="1"/>
    <col min="3" max="3" width="16.90625" bestFit="1" customWidth="1"/>
  </cols>
  <sheetData>
    <row r="1" spans="1:3" ht="30" customHeight="1">
      <c r="A1" s="23" t="s">
        <v>398</v>
      </c>
      <c r="B1" s="22"/>
      <c r="C1" s="22"/>
    </row>
    <row r="2" spans="1:3">
      <c r="A2" s="21" t="s">
        <v>399</v>
      </c>
      <c r="B2" s="22"/>
      <c r="C2" s="22"/>
    </row>
    <row r="3" spans="1:3" ht="24" customHeight="1">
      <c r="A3" s="1" t="s">
        <v>400</v>
      </c>
      <c r="B3" s="1" t="s">
        <v>401</v>
      </c>
      <c r="C3" s="1" t="s">
        <v>402</v>
      </c>
    </row>
    <row r="4" spans="1:3" ht="14.5">
      <c r="A4" s="2">
        <v>1</v>
      </c>
      <c r="B4" s="14">
        <v>1</v>
      </c>
      <c r="C4" s="2" t="s">
        <v>403</v>
      </c>
    </row>
    <row r="5" spans="1:3" ht="14.5">
      <c r="A5" s="6">
        <v>10</v>
      </c>
      <c r="B5" s="15">
        <v>0.95</v>
      </c>
      <c r="C5" s="6" t="s">
        <v>404</v>
      </c>
    </row>
    <row r="6" spans="1:3" ht="14.5">
      <c r="A6" s="2">
        <v>50</v>
      </c>
      <c r="B6" s="14">
        <v>0.9</v>
      </c>
      <c r="C6" s="2" t="s">
        <v>405</v>
      </c>
    </row>
    <row r="7" spans="1:3" ht="14.5">
      <c r="A7" s="6">
        <v>100</v>
      </c>
      <c r="B7" s="15">
        <v>0.85</v>
      </c>
      <c r="C7" s="6" t="s">
        <v>406</v>
      </c>
    </row>
  </sheetData>
  <autoFilter ref="A3:C7" xr:uid="{00000000-0009-0000-0000-000003000000}"/>
  <mergeCells count="2">
    <mergeCell ref="A1:C1"/>
    <mergeCell ref="A2:C2"/>
  </mergeCells>
  <phoneticPr fontId="6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B57B-1023-4C86-97C0-E9832CF1547A}">
  <dimension ref="A1:X7"/>
  <sheetViews>
    <sheetView workbookViewId="0">
      <selection activeCell="A3" sqref="A3:X7"/>
    </sheetView>
  </sheetViews>
  <sheetFormatPr defaultRowHeight="14"/>
  <cols>
    <col min="1" max="1" width="17.90625" bestFit="1" customWidth="1"/>
    <col min="2" max="2" width="11.90625" bestFit="1" customWidth="1"/>
    <col min="3" max="3" width="21" bestFit="1" customWidth="1"/>
    <col min="4" max="4" width="9.90625" bestFit="1" customWidth="1"/>
    <col min="5" max="5" width="21" bestFit="1" customWidth="1"/>
    <col min="6" max="6" width="13.54296875" bestFit="1" customWidth="1"/>
    <col min="7" max="7" width="18.81640625" bestFit="1" customWidth="1"/>
    <col min="8" max="8" width="8.81640625" bestFit="1" customWidth="1"/>
    <col min="9" max="9" width="10.26953125" bestFit="1" customWidth="1"/>
    <col min="10" max="10" width="9.81640625" bestFit="1" customWidth="1"/>
    <col min="11" max="11" width="23.1796875" bestFit="1" customWidth="1"/>
    <col min="12" max="12" width="9.81640625" bestFit="1" customWidth="1"/>
    <col min="13" max="13" width="8.81640625" bestFit="1" customWidth="1"/>
    <col min="14" max="14" width="16.54296875" bestFit="1" customWidth="1"/>
    <col min="15" max="15" width="11.90625" bestFit="1" customWidth="1"/>
    <col min="16" max="16" width="25.453125" bestFit="1" customWidth="1"/>
    <col min="17" max="17" width="12" bestFit="1" customWidth="1"/>
    <col min="18" max="18" width="8.81640625" bestFit="1" customWidth="1"/>
    <col min="19" max="19" width="9.81640625" bestFit="1" customWidth="1"/>
    <col min="20" max="20" width="16.54296875" bestFit="1" customWidth="1"/>
    <col min="21" max="21" width="12" bestFit="1" customWidth="1"/>
    <col min="22" max="22" width="16.54296875" bestFit="1" customWidth="1"/>
    <col min="23" max="24" width="11.90625" bestFit="1" customWidth="1"/>
  </cols>
  <sheetData>
    <row r="1" spans="1:24">
      <c r="A1" s="34" t="s">
        <v>481</v>
      </c>
    </row>
    <row r="3" spans="1:24">
      <c r="A3" t="s">
        <v>0</v>
      </c>
      <c r="B3" t="s">
        <v>1</v>
      </c>
      <c r="C3" t="s">
        <v>474</v>
      </c>
      <c r="D3" t="s">
        <v>2</v>
      </c>
      <c r="E3" t="s">
        <v>443</v>
      </c>
      <c r="F3" t="s">
        <v>3</v>
      </c>
      <c r="G3" t="s">
        <v>444</v>
      </c>
      <c r="H3" t="s">
        <v>475</v>
      </c>
      <c r="I3" t="s">
        <v>446</v>
      </c>
      <c r="J3" t="s">
        <v>448</v>
      </c>
      <c r="K3" t="s">
        <v>435</v>
      </c>
      <c r="L3" t="s">
        <v>4</v>
      </c>
      <c r="M3" t="s">
        <v>5</v>
      </c>
      <c r="N3" t="s">
        <v>439</v>
      </c>
      <c r="O3" t="s">
        <v>6</v>
      </c>
      <c r="P3" t="s">
        <v>7</v>
      </c>
      <c r="Q3" t="s">
        <v>476</v>
      </c>
      <c r="R3" t="s">
        <v>477</v>
      </c>
      <c r="S3" t="s">
        <v>437</v>
      </c>
      <c r="T3" t="s">
        <v>440</v>
      </c>
      <c r="U3" t="s">
        <v>478</v>
      </c>
      <c r="V3" t="s">
        <v>479</v>
      </c>
      <c r="W3" t="s">
        <v>480</v>
      </c>
      <c r="X3" t="s">
        <v>450</v>
      </c>
    </row>
    <row r="4" spans="1:24">
      <c r="A4" t="s">
        <v>80</v>
      </c>
      <c r="B4" s="33">
        <v>46048</v>
      </c>
      <c r="C4" t="s">
        <v>459</v>
      </c>
      <c r="D4" t="s">
        <v>35</v>
      </c>
      <c r="E4" t="s">
        <v>36</v>
      </c>
      <c r="F4" t="s">
        <v>36</v>
      </c>
      <c r="G4" t="s">
        <v>35</v>
      </c>
      <c r="H4" t="s">
        <v>35</v>
      </c>
      <c r="I4" s="33">
        <v>46048</v>
      </c>
      <c r="J4" t="s">
        <v>455</v>
      </c>
      <c r="K4" t="s">
        <v>372</v>
      </c>
      <c r="L4" t="s">
        <v>11</v>
      </c>
      <c r="M4" t="s">
        <v>38</v>
      </c>
      <c r="N4" t="s">
        <v>38</v>
      </c>
      <c r="O4" t="s">
        <v>81</v>
      </c>
      <c r="P4" t="s">
        <v>82</v>
      </c>
      <c r="Q4">
        <v>2499</v>
      </c>
      <c r="S4">
        <v>4</v>
      </c>
      <c r="T4">
        <v>1</v>
      </c>
      <c r="U4">
        <v>9996</v>
      </c>
      <c r="V4">
        <v>9996</v>
      </c>
      <c r="W4" t="s">
        <v>22</v>
      </c>
      <c r="X4">
        <v>9996</v>
      </c>
    </row>
    <row r="5" spans="1:24">
      <c r="A5" t="s">
        <v>75</v>
      </c>
      <c r="B5" s="33">
        <v>46047</v>
      </c>
      <c r="C5" t="s">
        <v>458</v>
      </c>
      <c r="D5" t="s">
        <v>76</v>
      </c>
      <c r="E5" t="s">
        <v>77</v>
      </c>
      <c r="F5" t="s">
        <v>77</v>
      </c>
      <c r="G5" t="s">
        <v>76</v>
      </c>
      <c r="H5" t="s">
        <v>76</v>
      </c>
      <c r="I5" s="33">
        <v>46047</v>
      </c>
      <c r="J5" t="s">
        <v>454</v>
      </c>
      <c r="K5" t="s">
        <v>370</v>
      </c>
      <c r="L5" t="s">
        <v>78</v>
      </c>
      <c r="M5" t="s">
        <v>38</v>
      </c>
      <c r="N5" t="s">
        <v>38</v>
      </c>
      <c r="O5" t="s">
        <v>73</v>
      </c>
      <c r="P5" t="s">
        <v>74</v>
      </c>
      <c r="Q5">
        <v>385</v>
      </c>
      <c r="R5" t="s">
        <v>79</v>
      </c>
      <c r="S5">
        <v>32</v>
      </c>
      <c r="T5">
        <v>0.95</v>
      </c>
      <c r="U5">
        <v>12320</v>
      </c>
      <c r="V5">
        <v>12320</v>
      </c>
      <c r="W5" t="s">
        <v>22</v>
      </c>
      <c r="X5">
        <v>11704</v>
      </c>
    </row>
    <row r="6" spans="1:24">
      <c r="A6" t="s">
        <v>56</v>
      </c>
      <c r="B6" s="33">
        <v>46042</v>
      </c>
      <c r="C6" t="s">
        <v>457</v>
      </c>
      <c r="D6" t="s">
        <v>35</v>
      </c>
      <c r="E6" t="s">
        <v>36</v>
      </c>
      <c r="F6" t="s">
        <v>36</v>
      </c>
      <c r="G6" t="s">
        <v>35</v>
      </c>
      <c r="H6" t="s">
        <v>35</v>
      </c>
      <c r="I6" s="33">
        <v>46042</v>
      </c>
      <c r="J6" t="s">
        <v>453</v>
      </c>
      <c r="K6" t="s">
        <v>372</v>
      </c>
      <c r="L6" t="s">
        <v>11</v>
      </c>
      <c r="M6" t="s">
        <v>38</v>
      </c>
      <c r="N6" t="s">
        <v>38</v>
      </c>
      <c r="O6" t="s">
        <v>57</v>
      </c>
      <c r="P6" t="s">
        <v>58</v>
      </c>
      <c r="Q6">
        <v>599</v>
      </c>
      <c r="R6">
        <v>3</v>
      </c>
      <c r="S6">
        <v>3</v>
      </c>
      <c r="T6">
        <v>1</v>
      </c>
      <c r="U6">
        <v>1797</v>
      </c>
      <c r="V6">
        <v>1797</v>
      </c>
      <c r="W6" t="s">
        <v>50</v>
      </c>
      <c r="X6">
        <v>1797</v>
      </c>
    </row>
    <row r="7" spans="1:24">
      <c r="A7" t="s">
        <v>47</v>
      </c>
      <c r="B7" s="33">
        <v>46031</v>
      </c>
      <c r="C7" t="s">
        <v>456</v>
      </c>
      <c r="D7" t="s">
        <v>35</v>
      </c>
      <c r="E7" t="s">
        <v>36</v>
      </c>
      <c r="F7" t="s">
        <v>36</v>
      </c>
      <c r="G7" t="s">
        <v>35</v>
      </c>
      <c r="H7" t="s">
        <v>35</v>
      </c>
      <c r="I7" s="33">
        <v>46031</v>
      </c>
      <c r="J7" t="s">
        <v>452</v>
      </c>
      <c r="K7" t="s">
        <v>372</v>
      </c>
      <c r="L7" t="s">
        <v>24</v>
      </c>
      <c r="M7" t="s">
        <v>38</v>
      </c>
      <c r="N7" t="s">
        <v>38</v>
      </c>
      <c r="O7" t="s">
        <v>48</v>
      </c>
      <c r="P7" t="s">
        <v>49</v>
      </c>
      <c r="Q7">
        <v>45</v>
      </c>
      <c r="R7">
        <v>85</v>
      </c>
      <c r="S7">
        <v>85</v>
      </c>
      <c r="T7">
        <v>0.9</v>
      </c>
      <c r="U7">
        <v>3825</v>
      </c>
      <c r="V7">
        <v>3825</v>
      </c>
      <c r="W7" t="s">
        <v>50</v>
      </c>
      <c r="X7">
        <v>3442.5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topLeftCell="A8" workbookViewId="0">
      <selection activeCell="G42" sqref="G42"/>
    </sheetView>
  </sheetViews>
  <sheetFormatPr defaultRowHeight="14"/>
  <cols>
    <col min="1" max="1" width="22.1796875" bestFit="1" customWidth="1"/>
    <col min="2" max="9" width="14.54296875" bestFit="1" customWidth="1"/>
    <col min="10" max="10" width="11.1796875" bestFit="1" customWidth="1"/>
  </cols>
  <sheetData>
    <row r="1" spans="1:10" ht="30" customHeight="1">
      <c r="A1" s="23" t="s">
        <v>407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21" t="s">
        <v>408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24" customHeight="1">
      <c r="A3" s="1" t="s">
        <v>5</v>
      </c>
      <c r="B3" s="1" t="s">
        <v>409</v>
      </c>
      <c r="C3" s="1" t="s">
        <v>410</v>
      </c>
      <c r="D3" s="1" t="s">
        <v>411</v>
      </c>
      <c r="E3" s="1" t="s">
        <v>412</v>
      </c>
      <c r="F3" s="1" t="s">
        <v>413</v>
      </c>
      <c r="G3" s="1" t="s">
        <v>414</v>
      </c>
      <c r="H3" s="1" t="s">
        <v>415</v>
      </c>
      <c r="I3" s="1" t="s">
        <v>416</v>
      </c>
      <c r="J3" s="1" t="s">
        <v>417</v>
      </c>
    </row>
    <row r="4" spans="1:10" ht="14.5">
      <c r="A4" s="2" t="s">
        <v>19</v>
      </c>
      <c r="B4" s="16">
        <v>23000</v>
      </c>
      <c r="C4" s="16">
        <v>129000</v>
      </c>
      <c r="D4" s="16">
        <v>108000</v>
      </c>
      <c r="E4" s="16">
        <v>104000</v>
      </c>
      <c r="F4" s="16">
        <v>292000</v>
      </c>
      <c r="G4" s="16">
        <v>110000</v>
      </c>
      <c r="H4" s="16">
        <v>162000</v>
      </c>
      <c r="I4" s="16">
        <v>82000</v>
      </c>
      <c r="J4" s="10">
        <f>SUM(B4:I4)</f>
        <v>1010000</v>
      </c>
    </row>
    <row r="5" spans="1:10" ht="14.5">
      <c r="A5" s="6" t="s">
        <v>38</v>
      </c>
      <c r="B5" s="17">
        <v>29000</v>
      </c>
      <c r="C5" s="17">
        <v>30000</v>
      </c>
      <c r="D5" s="17">
        <v>77000</v>
      </c>
      <c r="E5" s="17">
        <v>23000</v>
      </c>
      <c r="F5" s="17">
        <v>143000</v>
      </c>
      <c r="G5" s="17">
        <v>122000</v>
      </c>
      <c r="H5" s="17">
        <v>116000</v>
      </c>
      <c r="I5" s="17">
        <v>43000</v>
      </c>
      <c r="J5" s="11">
        <f>SUM(B5:I5)</f>
        <v>583000</v>
      </c>
    </row>
    <row r="6" spans="1:10" ht="14.5">
      <c r="A6" s="2" t="s">
        <v>25</v>
      </c>
      <c r="B6" s="16">
        <v>8000</v>
      </c>
      <c r="C6" s="16">
        <v>8000</v>
      </c>
      <c r="D6" s="16">
        <v>17000</v>
      </c>
      <c r="E6" s="16">
        <v>114000</v>
      </c>
      <c r="F6" s="16">
        <v>127000</v>
      </c>
      <c r="G6" s="16">
        <v>49000</v>
      </c>
      <c r="H6" s="16">
        <v>43000</v>
      </c>
      <c r="I6" s="16">
        <v>46000</v>
      </c>
      <c r="J6" s="10">
        <f>SUM(B6:I6)</f>
        <v>412000</v>
      </c>
    </row>
    <row r="7" spans="1:10" ht="14.5">
      <c r="A7" s="6" t="s">
        <v>68</v>
      </c>
      <c r="B7" s="17">
        <v>39000</v>
      </c>
      <c r="C7" s="17">
        <v>25000</v>
      </c>
      <c r="D7" s="17">
        <v>46000</v>
      </c>
      <c r="E7" s="17">
        <v>57000</v>
      </c>
      <c r="F7" s="17">
        <v>24000</v>
      </c>
      <c r="G7" s="17">
        <v>46000</v>
      </c>
      <c r="H7" s="17">
        <v>79000</v>
      </c>
      <c r="I7" s="17">
        <v>60000</v>
      </c>
      <c r="J7" s="11">
        <f>SUM(B7:I7)</f>
        <v>376000</v>
      </c>
    </row>
    <row r="8" spans="1:10" ht="14.5">
      <c r="A8" s="2" t="s">
        <v>45</v>
      </c>
      <c r="B8" s="16">
        <v>50000</v>
      </c>
      <c r="C8" s="16">
        <v>43000</v>
      </c>
      <c r="D8" s="16">
        <v>51000</v>
      </c>
      <c r="E8" s="16">
        <v>27000</v>
      </c>
      <c r="F8" s="16">
        <v>94000</v>
      </c>
      <c r="G8" s="16">
        <v>58000</v>
      </c>
      <c r="H8" s="16">
        <v>26000</v>
      </c>
      <c r="I8" s="16">
        <v>84000</v>
      </c>
      <c r="J8" s="10">
        <f>SUM(B8:I8)</f>
        <v>433000</v>
      </c>
    </row>
    <row r="9" spans="1:10" ht="15.5">
      <c r="A9" s="18" t="s">
        <v>418</v>
      </c>
      <c r="B9" s="19">
        <f t="shared" ref="B9:J9" si="0">SUM(B4:B8)</f>
        <v>149000</v>
      </c>
      <c r="C9" s="19">
        <f t="shared" si="0"/>
        <v>235000</v>
      </c>
      <c r="D9" s="19">
        <f t="shared" si="0"/>
        <v>299000</v>
      </c>
      <c r="E9" s="19">
        <f t="shared" si="0"/>
        <v>325000</v>
      </c>
      <c r="F9" s="19">
        <f t="shared" si="0"/>
        <v>680000</v>
      </c>
      <c r="G9" s="19">
        <f t="shared" si="0"/>
        <v>385000</v>
      </c>
      <c r="H9" s="19">
        <f t="shared" si="0"/>
        <v>426000</v>
      </c>
      <c r="I9" s="19">
        <f t="shared" si="0"/>
        <v>315000</v>
      </c>
      <c r="J9" s="19">
        <f t="shared" si="0"/>
        <v>2814000</v>
      </c>
    </row>
    <row r="16" spans="1:10">
      <c r="A16" s="24" t="s">
        <v>468</v>
      </c>
      <c r="B16" s="24" t="s">
        <v>471</v>
      </c>
    </row>
    <row r="17" spans="1:10">
      <c r="A17" s="24" t="s">
        <v>432</v>
      </c>
      <c r="B17" t="s">
        <v>460</v>
      </c>
      <c r="C17" t="s">
        <v>461</v>
      </c>
      <c r="D17" t="s">
        <v>462</v>
      </c>
      <c r="E17" t="s">
        <v>463</v>
      </c>
      <c r="F17" t="s">
        <v>464</v>
      </c>
      <c r="G17" t="s">
        <v>465</v>
      </c>
      <c r="H17" t="s">
        <v>466</v>
      </c>
      <c r="I17" t="s">
        <v>467</v>
      </c>
      <c r="J17" t="s">
        <v>418</v>
      </c>
    </row>
    <row r="18" spans="1:10">
      <c r="A18" s="25" t="s">
        <v>38</v>
      </c>
      <c r="B18" s="26">
        <v>27938</v>
      </c>
      <c r="C18" s="26">
        <v>28495</v>
      </c>
      <c r="D18" s="26">
        <v>72200</v>
      </c>
      <c r="E18" s="26">
        <v>21881</v>
      </c>
      <c r="F18" s="26">
        <v>102625</v>
      </c>
      <c r="G18" s="26">
        <v>114784</v>
      </c>
      <c r="H18" s="26">
        <v>109154</v>
      </c>
      <c r="I18" s="26">
        <v>40329</v>
      </c>
      <c r="J18" s="26">
        <v>517406</v>
      </c>
    </row>
    <row r="19" spans="1:10">
      <c r="A19" s="25" t="s">
        <v>19</v>
      </c>
      <c r="B19" s="26">
        <v>22857</v>
      </c>
      <c r="C19" s="26">
        <v>81902</v>
      </c>
      <c r="D19" s="26">
        <v>132603</v>
      </c>
      <c r="E19" s="26">
        <v>140398</v>
      </c>
      <c r="F19" s="26">
        <v>246587</v>
      </c>
      <c r="G19" s="26">
        <v>99600</v>
      </c>
      <c r="H19" s="26">
        <v>169804</v>
      </c>
      <c r="I19" s="26">
        <v>88661</v>
      </c>
      <c r="J19" s="26">
        <v>982412</v>
      </c>
    </row>
    <row r="20" spans="1:10">
      <c r="A20" s="25" t="s">
        <v>25</v>
      </c>
      <c r="B20" s="26">
        <v>899</v>
      </c>
      <c r="C20" s="26"/>
      <c r="D20" s="26">
        <v>7493</v>
      </c>
      <c r="E20" s="26">
        <v>118532</v>
      </c>
      <c r="F20" s="26">
        <v>132452</v>
      </c>
      <c r="G20" s="26">
        <v>51222</v>
      </c>
      <c r="H20" s="26">
        <v>44867</v>
      </c>
      <c r="I20" s="26">
        <v>47679</v>
      </c>
      <c r="J20" s="26">
        <v>403144</v>
      </c>
    </row>
    <row r="21" spans="1:10">
      <c r="A21" s="25" t="s">
        <v>45</v>
      </c>
      <c r="B21" s="26">
        <v>45734</v>
      </c>
      <c r="C21" s="26"/>
      <c r="D21" s="26">
        <v>47099</v>
      </c>
      <c r="E21" s="26">
        <v>25193</v>
      </c>
      <c r="F21" s="26">
        <v>82255</v>
      </c>
      <c r="G21" s="26">
        <v>46471</v>
      </c>
      <c r="H21" s="26">
        <v>23569</v>
      </c>
      <c r="I21" s="26">
        <v>77390</v>
      </c>
      <c r="J21" s="26">
        <v>347711</v>
      </c>
    </row>
    <row r="22" spans="1:10">
      <c r="A22" s="25" t="s">
        <v>68</v>
      </c>
      <c r="B22" s="26">
        <v>44649</v>
      </c>
      <c r="C22" s="26">
        <v>27982</v>
      </c>
      <c r="D22" s="26">
        <v>51828</v>
      </c>
      <c r="E22" s="26">
        <v>82246</v>
      </c>
      <c r="F22" s="26">
        <v>23121</v>
      </c>
      <c r="G22" s="26">
        <v>51800</v>
      </c>
      <c r="H22" s="26">
        <v>89874</v>
      </c>
      <c r="I22" s="26">
        <v>67642</v>
      </c>
      <c r="J22" s="26">
        <v>439142</v>
      </c>
    </row>
    <row r="23" spans="1:10">
      <c r="A23" s="25" t="s">
        <v>418</v>
      </c>
      <c r="B23" s="26">
        <v>142077</v>
      </c>
      <c r="C23" s="26">
        <v>138379</v>
      </c>
      <c r="D23" s="26">
        <v>311223</v>
      </c>
      <c r="E23" s="26">
        <v>388250</v>
      </c>
      <c r="F23" s="26">
        <v>587040</v>
      </c>
      <c r="G23" s="26">
        <v>363877</v>
      </c>
      <c r="H23" s="26">
        <v>437268</v>
      </c>
      <c r="I23" s="26">
        <v>321701</v>
      </c>
      <c r="J23" s="26">
        <v>2689815</v>
      </c>
    </row>
    <row r="26" spans="1:10">
      <c r="A26" s="25" t="s">
        <v>38</v>
      </c>
      <c r="B26">
        <f>VLOOKUP($A26,$A$17:$J$23,COLUMN(B3),0)/VLOOKUP($A26,$A$3:$J$9,COLUMN(B3),0)</f>
        <v>0.9633793103448276</v>
      </c>
      <c r="C26">
        <f t="shared" ref="C26:J26" si="1">VLOOKUP($A26,$A$17:$J$23,COLUMN(C3),0)/VLOOKUP($A26,$A$3:$J$9,COLUMN(C3),0)</f>
        <v>0.94983333333333331</v>
      </c>
      <c r="D26">
        <f t="shared" si="1"/>
        <v>0.93766233766233764</v>
      </c>
      <c r="E26">
        <f t="shared" si="1"/>
        <v>0.95134782608695656</v>
      </c>
      <c r="F26">
        <f t="shared" si="1"/>
        <v>0.71765734265734271</v>
      </c>
      <c r="G26">
        <f t="shared" si="1"/>
        <v>0.94085245901639347</v>
      </c>
      <c r="H26">
        <f t="shared" si="1"/>
        <v>0.9409827586206897</v>
      </c>
      <c r="I26">
        <f t="shared" si="1"/>
        <v>0.93788372093023253</v>
      </c>
      <c r="J26">
        <f t="shared" si="1"/>
        <v>0.88748885077186968</v>
      </c>
    </row>
    <row r="27" spans="1:10">
      <c r="A27" s="25" t="s">
        <v>19</v>
      </c>
      <c r="B27">
        <f t="shared" ref="B27:J27" si="2">VLOOKUP($A27,$A$17:$J$23,COLUMN(B4),0)/VLOOKUP($A27,$A$3:$J$9,COLUMN(B4),0)</f>
        <v>0.99378260869565216</v>
      </c>
      <c r="C27">
        <f t="shared" si="2"/>
        <v>0.63489922480620153</v>
      </c>
      <c r="D27">
        <f t="shared" si="2"/>
        <v>1.2278055555555556</v>
      </c>
      <c r="E27">
        <f t="shared" si="2"/>
        <v>1.3499807692307693</v>
      </c>
      <c r="F27">
        <f t="shared" si="2"/>
        <v>0.84447602739726024</v>
      </c>
      <c r="G27">
        <f t="shared" si="2"/>
        <v>0.9054545454545454</v>
      </c>
      <c r="H27">
        <f t="shared" si="2"/>
        <v>1.0481728395061729</v>
      </c>
      <c r="I27">
        <f t="shared" si="2"/>
        <v>1.0812317073170732</v>
      </c>
      <c r="J27">
        <f t="shared" si="2"/>
        <v>0.97268514851485144</v>
      </c>
    </row>
    <row r="28" spans="1:10">
      <c r="A28" s="25" t="s">
        <v>25</v>
      </c>
      <c r="B28">
        <f>VLOOKUP($A28,$A$17:$J$23,COLUMN(B5),0)/VLOOKUP($A28,$A$3:$J$9,COLUMN(B5),0)</f>
        <v>0.112375</v>
      </c>
      <c r="C28">
        <f t="shared" ref="B28:J28" si="3">VLOOKUP($A28,$A$17:$J$23,COLUMN(C5),0)/VLOOKUP($A28,$A$3:$J$9,COLUMN(C5),0)</f>
        <v>0</v>
      </c>
      <c r="D28">
        <f t="shared" si="3"/>
        <v>0.44076470588235295</v>
      </c>
      <c r="E28">
        <f t="shared" si="3"/>
        <v>1.0397543859649123</v>
      </c>
      <c r="F28">
        <f t="shared" si="3"/>
        <v>1.0429291338582678</v>
      </c>
      <c r="G28">
        <f t="shared" si="3"/>
        <v>1.0453469387755101</v>
      </c>
      <c r="H28">
        <f t="shared" si="3"/>
        <v>1.0434186046511629</v>
      </c>
      <c r="I28">
        <f t="shared" si="3"/>
        <v>1.0365</v>
      </c>
      <c r="J28">
        <f t="shared" si="3"/>
        <v>0.97850485436893209</v>
      </c>
    </row>
    <row r="29" spans="1:10">
      <c r="A29" s="25" t="s">
        <v>45</v>
      </c>
      <c r="B29">
        <f t="shared" ref="B29:J29" si="4">VLOOKUP($A29,$A$17:$J$23,COLUMN(B6),0)/VLOOKUP($A29,$A$3:$J$9,COLUMN(B6),0)</f>
        <v>0.91468000000000005</v>
      </c>
      <c r="C29">
        <f t="shared" si="4"/>
        <v>0</v>
      </c>
      <c r="D29">
        <f t="shared" si="4"/>
        <v>0.92350980392156867</v>
      </c>
      <c r="E29">
        <f t="shared" si="4"/>
        <v>0.93307407407407406</v>
      </c>
      <c r="F29">
        <f t="shared" si="4"/>
        <v>0.87505319148936167</v>
      </c>
      <c r="G29">
        <f t="shared" si="4"/>
        <v>0.80122413793103453</v>
      </c>
      <c r="H29">
        <f t="shared" si="4"/>
        <v>0.90649999999999997</v>
      </c>
      <c r="I29">
        <f t="shared" si="4"/>
        <v>0.9213095238095238</v>
      </c>
      <c r="J29">
        <f t="shared" si="4"/>
        <v>0.803027713625866</v>
      </c>
    </row>
    <row r="30" spans="1:10">
      <c r="A30" s="25" t="s">
        <v>68</v>
      </c>
      <c r="B30">
        <f t="shared" ref="B30:J30" si="5">VLOOKUP($A30,$A$17:$J$23,COLUMN(B7),0)/VLOOKUP($A30,$A$3:$J$9,COLUMN(B7),0)</f>
        <v>1.1448461538461538</v>
      </c>
      <c r="C30">
        <f t="shared" si="5"/>
        <v>1.1192800000000001</v>
      </c>
      <c r="D30">
        <f t="shared" si="5"/>
        <v>1.1266956521739131</v>
      </c>
      <c r="E30">
        <f t="shared" si="5"/>
        <v>1.4429122807017545</v>
      </c>
      <c r="F30">
        <f t="shared" si="5"/>
        <v>0.96337499999999998</v>
      </c>
      <c r="G30">
        <f t="shared" si="5"/>
        <v>1.1260869565217391</v>
      </c>
      <c r="H30">
        <f t="shared" si="5"/>
        <v>1.1376455696202532</v>
      </c>
      <c r="I30">
        <f t="shared" si="5"/>
        <v>1.1273666666666666</v>
      </c>
      <c r="J30">
        <f t="shared" si="5"/>
        <v>1.1679308510638298</v>
      </c>
    </row>
    <row r="31" spans="1:10">
      <c r="A31" s="25" t="s">
        <v>418</v>
      </c>
      <c r="B31">
        <f t="shared" ref="B31:J31" si="6">VLOOKUP($A31,$A$17:$J$23,COLUMN(B8),0)/VLOOKUP($A31,$A$3:$J$9,COLUMN(B8),0)</f>
        <v>0.95353691275167785</v>
      </c>
      <c r="C31">
        <f t="shared" si="6"/>
        <v>0.58884680851063831</v>
      </c>
      <c r="D31">
        <f t="shared" si="6"/>
        <v>1.0408795986622073</v>
      </c>
      <c r="E31">
        <f t="shared" si="6"/>
        <v>1.1946153846153846</v>
      </c>
      <c r="F31">
        <f t="shared" si="6"/>
        <v>0.86329411764705888</v>
      </c>
      <c r="G31">
        <f t="shared" si="6"/>
        <v>0.94513506493506494</v>
      </c>
      <c r="H31">
        <f t="shared" si="6"/>
        <v>1.0264507042253521</v>
      </c>
      <c r="I31">
        <f t="shared" si="6"/>
        <v>1.0212730158730159</v>
      </c>
      <c r="J31">
        <f t="shared" si="6"/>
        <v>0.95586886993603415</v>
      </c>
    </row>
    <row r="35" spans="1:4">
      <c r="B35" t="s">
        <v>492</v>
      </c>
      <c r="C35" t="s">
        <v>493</v>
      </c>
      <c r="D35" t="s">
        <v>447</v>
      </c>
    </row>
    <row r="36" spans="1:4">
      <c r="A36" s="25" t="s">
        <v>38</v>
      </c>
      <c r="B36">
        <f>VLOOKUP($A36,$A$17:$J$22,2,0)</f>
        <v>27938</v>
      </c>
      <c r="C36">
        <f>VLOOKUP($A36,$A$4:$J$8,2,0)</f>
        <v>29000</v>
      </c>
      <c r="D36" s="36">
        <v>46023</v>
      </c>
    </row>
    <row r="37" spans="1:4">
      <c r="A37" s="25" t="s">
        <v>19</v>
      </c>
      <c r="B37">
        <f t="shared" ref="B37:B40" si="7">VLOOKUP($A37,$A$17:$J$22,2,0)</f>
        <v>22857</v>
      </c>
      <c r="C37">
        <f t="shared" ref="C37:C40" si="8">VLOOKUP($A37,$A$4:$J$8,2,0)</f>
        <v>23000</v>
      </c>
      <c r="D37" s="36">
        <v>46054</v>
      </c>
    </row>
    <row r="38" spans="1:4">
      <c r="A38" s="25" t="s">
        <v>25</v>
      </c>
      <c r="B38">
        <f t="shared" si="7"/>
        <v>899</v>
      </c>
      <c r="C38">
        <f t="shared" si="8"/>
        <v>8000</v>
      </c>
      <c r="D38" s="36">
        <v>46082</v>
      </c>
    </row>
    <row r="39" spans="1:4">
      <c r="A39" s="25" t="s">
        <v>45</v>
      </c>
      <c r="B39">
        <f t="shared" si="7"/>
        <v>45734</v>
      </c>
      <c r="C39">
        <f t="shared" si="8"/>
        <v>50000</v>
      </c>
      <c r="D39" s="36">
        <v>46113</v>
      </c>
    </row>
    <row r="40" spans="1:4">
      <c r="A40" s="25" t="s">
        <v>68</v>
      </c>
      <c r="B40">
        <f t="shared" si="7"/>
        <v>44649</v>
      </c>
      <c r="C40">
        <f t="shared" si="8"/>
        <v>39000</v>
      </c>
      <c r="D40" s="36">
        <v>46143</v>
      </c>
    </row>
    <row r="41" spans="1:4">
      <c r="A41" s="25"/>
    </row>
  </sheetData>
  <autoFilter ref="A3:J8" xr:uid="{00000000-0009-0000-0000-000004000000}"/>
  <mergeCells count="2">
    <mergeCell ref="A1:J1"/>
    <mergeCell ref="A2:J2"/>
  </mergeCells>
  <phoneticPr fontId="6" type="noConversion"/>
  <conditionalFormatting sqref="B26:B31">
    <cfRule type="expression" dxfId="3" priority="4">
      <formula>B26&lt;1</formula>
    </cfRule>
  </conditionalFormatting>
  <conditionalFormatting sqref="C26:J31">
    <cfRule type="expression" dxfId="0" priority="1">
      <formula>C26&lt;1</formula>
    </cfRule>
  </conditionalFormatting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Sheet3</vt:lpstr>
      <vt:lpstr>统计计算</vt:lpstr>
      <vt:lpstr>Sheet5</vt:lpstr>
      <vt:lpstr>订单表_原始</vt:lpstr>
      <vt:lpstr>客户信息表</vt:lpstr>
      <vt:lpstr>产品信息表</vt:lpstr>
      <vt:lpstr>折扣阶梯</vt:lpstr>
      <vt:lpstr>详细信息1</vt:lpstr>
      <vt:lpstr>销售目标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小二 任</cp:lastModifiedBy>
  <dcterms:created xsi:type="dcterms:W3CDTF">2026-08-21T03:09:17Z</dcterms:created>
  <dcterms:modified xsi:type="dcterms:W3CDTF">2026-08-22T08:22:33Z</dcterms:modified>
</cp:coreProperties>
</file>