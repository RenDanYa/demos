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销售明细" sheetId="1" state="visible" r:id="rId3"/>
    <sheet name="产品信息" sheetId="2" state="visible" r:id="rId4"/>
    <sheet name="销售员名单" sheetId="3" state="visible" r:id="rId5"/>
    <sheet name="练习任务" sheetId="4" state="visible" r:id="rId6"/>
  </sheets>
  <definedNames>
    <definedName function="false" hidden="true" localSheetId="1" name="_xlnm._FilterDatabase" vbProcedure="false">产品信息!$A$1:$F$16</definedName>
    <definedName function="false" hidden="true" localSheetId="3" name="_xlnm._FilterDatabase" vbProcedure="false">练习任务!$A$3:$D$27</definedName>
    <definedName function="false" hidden="true" localSheetId="0" name="_xlnm._FilterDatabase" vbProcedure="false">销售明细!$A$1:$K$161</definedName>
    <definedName function="false" hidden="true" localSheetId="2" name="_xlnm._FilterDatabase" vbProcedure="false">销售员名单!$A$1:$G$9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<sst xmlns="http://schemas.openxmlformats.org/spreadsheetml/2006/main" count="1346" uniqueCount="341">
  <si>
    <t xml:space="preserve">订单编号</t>
  </si>
  <si>
    <t xml:space="preserve">订单日期</t>
  </si>
  <si>
    <t xml:space="preserve">客户名称</t>
  </si>
  <si>
    <t xml:space="preserve">销售员</t>
  </si>
  <si>
    <t xml:space="preserve">地区</t>
  </si>
  <si>
    <t xml:space="preserve">产品编码</t>
  </si>
  <si>
    <t xml:space="preserve">产品名称</t>
  </si>
  <si>
    <t xml:space="preserve">类别</t>
  </si>
  <si>
    <t xml:space="preserve">单价(元)</t>
  </si>
  <si>
    <t xml:space="preserve">数量</t>
  </si>
  <si>
    <t xml:space="preserve">销售额(元)</t>
  </si>
  <si>
    <t xml:space="preserve">SO-2026-0001</t>
  </si>
  <si>
    <t xml:space="preserve">广州启航教育集团</t>
  </si>
  <si>
    <t xml:space="preserve">张伟</t>
  </si>
  <si>
    <t xml:space="preserve">华南</t>
  </si>
  <si>
    <t xml:space="preserve">CP011</t>
  </si>
  <si>
    <t xml:space="preserve">签字笔盒装（12支）</t>
  </si>
  <si>
    <t xml:space="preserve">办公耗材</t>
  </si>
  <si>
    <t xml:space="preserve">SO-2026-0002</t>
  </si>
  <si>
    <t xml:space="preserve">杨帆</t>
  </si>
  <si>
    <t xml:space="preserve">CP002</t>
  </si>
  <si>
    <t xml:space="preserve">多功能一体机 PrintMaster 300</t>
  </si>
  <si>
    <t xml:space="preserve">办公设备</t>
  </si>
  <si>
    <t xml:space="preserve">SO-2026-0003</t>
  </si>
  <si>
    <t xml:space="preserve">刘洋</t>
  </si>
  <si>
    <t xml:space="preserve">CP005</t>
  </si>
  <si>
    <t xml:space="preserve">笔记本电脑 TechBook 14</t>
  </si>
  <si>
    <t xml:space="preserve">电子数码</t>
  </si>
  <si>
    <t xml:space="preserve">SO-2026-0004</t>
  </si>
  <si>
    <t xml:space="preserve">西安古都文化用品公司</t>
  </si>
  <si>
    <t xml:space="preserve">李娜</t>
  </si>
  <si>
    <t xml:space="preserve">西北</t>
  </si>
  <si>
    <t xml:space="preserve">SO-2026-0005</t>
  </si>
  <si>
    <t xml:space="preserve">南京紫金山软件园运营公司</t>
  </si>
  <si>
    <t xml:space="preserve">华东</t>
  </si>
  <si>
    <t xml:space="preserve">CP012</t>
  </si>
  <si>
    <t xml:space="preserve">文件夹（50个/包）</t>
  </si>
  <si>
    <t xml:space="preserve">SO-2026-0006</t>
  </si>
  <si>
    <t xml:space="preserve">武汉长江实业有限公司</t>
  </si>
  <si>
    <t xml:space="preserve">华中</t>
  </si>
  <si>
    <t xml:space="preserve">CP003</t>
  </si>
  <si>
    <t xml:space="preserve">碎纸机 SafeCut S8</t>
  </si>
  <si>
    <t xml:space="preserve">SO-2026-0007</t>
  </si>
  <si>
    <t xml:space="preserve">北京华信科技有限公司</t>
  </si>
  <si>
    <t xml:space="preserve">华北</t>
  </si>
  <si>
    <t xml:space="preserve">CP008</t>
  </si>
  <si>
    <t xml:space="preserve">无线键鼠套装 KeyFree 2.0</t>
  </si>
  <si>
    <t xml:space="preserve">SO-2026-0008</t>
  </si>
  <si>
    <t xml:space="preserve">杭州云图信息技术有限公司</t>
  </si>
  <si>
    <t xml:space="preserve">CP013</t>
  </si>
  <si>
    <t xml:space="preserve">办公软件年费授权</t>
  </si>
  <si>
    <t xml:space="preserve">软件服务</t>
  </si>
  <si>
    <t xml:space="preserve">SO-2026-0009</t>
  </si>
  <si>
    <t xml:space="preserve">SO-2026-0010</t>
  </si>
  <si>
    <t xml:space="preserve">深圳蓝鲸网络科技有限公司</t>
  </si>
  <si>
    <t xml:space="preserve">王强</t>
  </si>
  <si>
    <t xml:space="preserve">SO-2026-0011</t>
  </si>
  <si>
    <t xml:space="preserve">CP007</t>
  </si>
  <si>
    <t xml:space="preserve">显示器 ViewMax 27</t>
  </si>
  <si>
    <t xml:space="preserve">SO-2026-0012</t>
  </si>
  <si>
    <t xml:space="preserve">SO-2026-0013</t>
  </si>
  <si>
    <t xml:space="preserve">孙悦</t>
  </si>
  <si>
    <t xml:space="preserve">CP001</t>
  </si>
  <si>
    <t xml:space="preserve">激光打印机 ProLaser 200</t>
  </si>
  <si>
    <t xml:space="preserve">SO-2026-0014</t>
  </si>
  <si>
    <t xml:space="preserve">青岛海尔思贸易有限公司</t>
  </si>
  <si>
    <t xml:space="preserve">SO-2026-0015</t>
  </si>
  <si>
    <t xml:space="preserve">成都天府商贸有限公司</t>
  </si>
  <si>
    <t xml:space="preserve">西南</t>
  </si>
  <si>
    <t xml:space="preserve">CP015</t>
  </si>
  <si>
    <t xml:space="preserve">云存储服务（1TB/年）</t>
  </si>
  <si>
    <t xml:space="preserve">SO-2026-0016</t>
  </si>
  <si>
    <t xml:space="preserve">CP009</t>
  </si>
  <si>
    <t xml:space="preserve">A4复印纸（5包/箱）</t>
  </si>
  <si>
    <t xml:space="preserve">SO-2026-0017</t>
  </si>
  <si>
    <t xml:space="preserve">陈静</t>
  </si>
  <si>
    <t xml:space="preserve">SO-2026-0018</t>
  </si>
  <si>
    <t xml:space="preserve">SO-2026-0019</t>
  </si>
  <si>
    <t xml:space="preserve">郑州中原物流有限公司</t>
  </si>
  <si>
    <t xml:space="preserve">SO-2026-0020</t>
  </si>
  <si>
    <t xml:space="preserve">苏州工业园区创智科技有限公司</t>
  </si>
  <si>
    <t xml:space="preserve">SO-2026-0021</t>
  </si>
  <si>
    <t xml:space="preserve">SO-2026-0022</t>
  </si>
  <si>
    <t xml:space="preserve">SO-2026-0023</t>
  </si>
  <si>
    <t xml:space="preserve">长沙麓山科技有限公司</t>
  </si>
  <si>
    <t xml:space="preserve">CP010</t>
  </si>
  <si>
    <t xml:space="preserve">激光硒鼓 TonerMax 12A</t>
  </si>
  <si>
    <t xml:space="preserve">SO-2026-0024</t>
  </si>
  <si>
    <t xml:space="preserve">上海锦程贸易有限公司</t>
  </si>
  <si>
    <t xml:space="preserve">SO-2026-0025</t>
  </si>
  <si>
    <t xml:space="preserve">SO-2026-0026</t>
  </si>
  <si>
    <t xml:space="preserve">赵磊</t>
  </si>
  <si>
    <t xml:space="preserve">CP004</t>
  </si>
  <si>
    <t xml:space="preserve">考勤机 FaceCheck F2</t>
  </si>
  <si>
    <t xml:space="preserve">SO-2026-0027</t>
  </si>
  <si>
    <t xml:space="preserve">SO-2026-0028</t>
  </si>
  <si>
    <t xml:space="preserve">SO-2026-0029</t>
  </si>
  <si>
    <t xml:space="preserve">SO-2026-0030</t>
  </si>
  <si>
    <t xml:space="preserve">CP014</t>
  </si>
  <si>
    <t xml:space="preserve">杀毒软件企业版授权</t>
  </si>
  <si>
    <t xml:space="preserve">SO-2026-0031</t>
  </si>
  <si>
    <t xml:space="preserve">SO-2026-0032</t>
  </si>
  <si>
    <t xml:space="preserve">SO-2026-0033</t>
  </si>
  <si>
    <t xml:space="preserve">SO-2026-0034</t>
  </si>
  <si>
    <t xml:space="preserve">SO-2026-0035</t>
  </si>
  <si>
    <t xml:space="preserve">SO-2026-0036</t>
  </si>
  <si>
    <t xml:space="preserve">SO-2026-0037</t>
  </si>
  <si>
    <t xml:space="preserve">SO-2026-0038</t>
  </si>
  <si>
    <t xml:space="preserve">SO-2026-0039</t>
  </si>
  <si>
    <t xml:space="preserve">SO-2026-0040</t>
  </si>
  <si>
    <t xml:space="preserve">SO-2026-0041</t>
  </si>
  <si>
    <t xml:space="preserve">SO-2026-0042</t>
  </si>
  <si>
    <t xml:space="preserve">天津海河传媒有限公司</t>
  </si>
  <si>
    <t xml:space="preserve">SO-2026-0043</t>
  </si>
  <si>
    <t xml:space="preserve">SO-2026-0044</t>
  </si>
  <si>
    <t xml:space="preserve">SO-2026-0045</t>
  </si>
  <si>
    <t xml:space="preserve">SO-2026-0046</t>
  </si>
  <si>
    <t xml:space="preserve">SO-2026-0047</t>
  </si>
  <si>
    <t xml:space="preserve">SO-2026-0048</t>
  </si>
  <si>
    <t xml:space="preserve">SO-2026-0049</t>
  </si>
  <si>
    <t xml:space="preserve">重庆山城办公设备有限公司</t>
  </si>
  <si>
    <t xml:space="preserve">SO-2026-0050</t>
  </si>
  <si>
    <t xml:space="preserve">CP006</t>
  </si>
  <si>
    <t xml:space="preserve">台式电脑 PowerDesk 500</t>
  </si>
  <si>
    <t xml:space="preserve">SO-2026-0051</t>
  </si>
  <si>
    <t xml:space="preserve">SO-2026-0052</t>
  </si>
  <si>
    <t xml:space="preserve">SO-2026-0053</t>
  </si>
  <si>
    <t xml:space="preserve">SO-2026-0054</t>
  </si>
  <si>
    <t xml:space="preserve">SO-2026-0055</t>
  </si>
  <si>
    <t xml:space="preserve">SO-2026-0056</t>
  </si>
  <si>
    <t xml:space="preserve">SO-2026-0057</t>
  </si>
  <si>
    <t xml:space="preserve">SO-2026-0058</t>
  </si>
  <si>
    <t xml:space="preserve">SO-2026-0059</t>
  </si>
  <si>
    <t xml:space="preserve">SO-2026-0060</t>
  </si>
  <si>
    <t xml:space="preserve">SO-2026-0061</t>
  </si>
  <si>
    <t xml:space="preserve">SO-2026-0062</t>
  </si>
  <si>
    <t xml:space="preserve">SO-2026-0063</t>
  </si>
  <si>
    <t xml:space="preserve">SO-2026-0064</t>
  </si>
  <si>
    <t xml:space="preserve">SO-2026-0065</t>
  </si>
  <si>
    <t xml:space="preserve">SO-2026-0066</t>
  </si>
  <si>
    <t xml:space="preserve">SO-2026-0067</t>
  </si>
  <si>
    <t xml:space="preserve">SO-2026-0068</t>
  </si>
  <si>
    <t xml:space="preserve">SO-2026-0069</t>
  </si>
  <si>
    <t xml:space="preserve">SO-2026-0070</t>
  </si>
  <si>
    <t xml:space="preserve">SO-2026-0071</t>
  </si>
  <si>
    <t xml:space="preserve">SO-2026-0072</t>
  </si>
  <si>
    <t xml:space="preserve">SO-2026-0073</t>
  </si>
  <si>
    <t xml:space="preserve">SO-2026-0074</t>
  </si>
  <si>
    <t xml:space="preserve">SO-2026-0075</t>
  </si>
  <si>
    <t xml:space="preserve">SO-2026-0076</t>
  </si>
  <si>
    <t xml:space="preserve">SO-2026-0077</t>
  </si>
  <si>
    <t xml:space="preserve">SO-2026-0078</t>
  </si>
  <si>
    <t xml:space="preserve">SO-2026-0079</t>
  </si>
  <si>
    <t xml:space="preserve">SO-2026-0080</t>
  </si>
  <si>
    <t xml:space="preserve">SO-2026-0081</t>
  </si>
  <si>
    <t xml:space="preserve">SO-2026-0082</t>
  </si>
  <si>
    <t xml:space="preserve">SO-2026-0083</t>
  </si>
  <si>
    <t xml:space="preserve">SO-2026-0084</t>
  </si>
  <si>
    <t xml:space="preserve">SO-2026-0085</t>
  </si>
  <si>
    <t xml:space="preserve">SO-2026-0086</t>
  </si>
  <si>
    <t xml:space="preserve">SO-2026-0087</t>
  </si>
  <si>
    <t xml:space="preserve">SO-2026-0088</t>
  </si>
  <si>
    <t xml:space="preserve">SO-2026-0089</t>
  </si>
  <si>
    <t xml:space="preserve">SO-2026-0090</t>
  </si>
  <si>
    <t xml:space="preserve">SO-2026-0091</t>
  </si>
  <si>
    <t xml:space="preserve">SO-2026-0092</t>
  </si>
  <si>
    <t xml:space="preserve">SO-2026-0093</t>
  </si>
  <si>
    <t xml:space="preserve">SO-2026-0094</t>
  </si>
  <si>
    <t xml:space="preserve">SO-2026-0095</t>
  </si>
  <si>
    <t xml:space="preserve">SO-2026-0096</t>
  </si>
  <si>
    <t xml:space="preserve">SO-2026-0097</t>
  </si>
  <si>
    <t xml:space="preserve">SO-2026-0098</t>
  </si>
  <si>
    <t xml:space="preserve">SO-2026-0099</t>
  </si>
  <si>
    <t xml:space="preserve">SO-2026-0100</t>
  </si>
  <si>
    <t xml:space="preserve">SO-2026-0101</t>
  </si>
  <si>
    <t xml:space="preserve">SO-2026-0102</t>
  </si>
  <si>
    <t xml:space="preserve">SO-2026-0103</t>
  </si>
  <si>
    <t xml:space="preserve">SO-2026-0104</t>
  </si>
  <si>
    <t xml:space="preserve">SO-2026-0105</t>
  </si>
  <si>
    <t xml:space="preserve">SO-2026-0106</t>
  </si>
  <si>
    <t xml:space="preserve">SO-2026-0107</t>
  </si>
  <si>
    <t xml:space="preserve">SO-2026-0108</t>
  </si>
  <si>
    <t xml:space="preserve">SO-2026-0109</t>
  </si>
  <si>
    <t xml:space="preserve">SO-2026-0110</t>
  </si>
  <si>
    <t xml:space="preserve">SO-2026-0111</t>
  </si>
  <si>
    <t xml:space="preserve">SO-2026-0112</t>
  </si>
  <si>
    <t xml:space="preserve">SO-2026-0113</t>
  </si>
  <si>
    <t xml:space="preserve">SO-2026-0114</t>
  </si>
  <si>
    <t xml:space="preserve">SO-2026-0115</t>
  </si>
  <si>
    <t xml:space="preserve">SO-2026-0116</t>
  </si>
  <si>
    <t xml:space="preserve">SO-2026-0117</t>
  </si>
  <si>
    <t xml:space="preserve">SO-2026-0118</t>
  </si>
  <si>
    <t xml:space="preserve">SO-2026-0119</t>
  </si>
  <si>
    <t xml:space="preserve">SO-2026-0120</t>
  </si>
  <si>
    <t xml:space="preserve">SO-2026-0121</t>
  </si>
  <si>
    <t xml:space="preserve">SO-2026-0122</t>
  </si>
  <si>
    <t xml:space="preserve">SO-2026-0123</t>
  </si>
  <si>
    <t xml:space="preserve">SO-2026-0124</t>
  </si>
  <si>
    <t xml:space="preserve">SO-2026-0125</t>
  </si>
  <si>
    <t xml:space="preserve">SO-2026-0126</t>
  </si>
  <si>
    <t xml:space="preserve">SO-2026-0127</t>
  </si>
  <si>
    <t xml:space="preserve">SO-2026-0128</t>
  </si>
  <si>
    <t xml:space="preserve">SO-2026-0129</t>
  </si>
  <si>
    <t xml:space="preserve">SO-2026-0130</t>
  </si>
  <si>
    <t xml:space="preserve">SO-2026-0131</t>
  </si>
  <si>
    <t xml:space="preserve">SO-2026-0132</t>
  </si>
  <si>
    <t xml:space="preserve">SO-2026-0133</t>
  </si>
  <si>
    <t xml:space="preserve">SO-2026-0134</t>
  </si>
  <si>
    <t xml:space="preserve">SO-2026-0135</t>
  </si>
  <si>
    <t xml:space="preserve">SO-2026-0136</t>
  </si>
  <si>
    <t xml:space="preserve">SO-2026-0137</t>
  </si>
  <si>
    <t xml:space="preserve">SO-2026-0138</t>
  </si>
  <si>
    <t xml:space="preserve">SO-2026-0139</t>
  </si>
  <si>
    <t xml:space="preserve">SO-2026-0140</t>
  </si>
  <si>
    <t xml:space="preserve">SO-2026-0141</t>
  </si>
  <si>
    <t xml:space="preserve">SO-2026-0142</t>
  </si>
  <si>
    <t xml:space="preserve">SO-2026-0143</t>
  </si>
  <si>
    <t xml:space="preserve">SO-2026-0144</t>
  </si>
  <si>
    <t xml:space="preserve">SO-2026-0145</t>
  </si>
  <si>
    <t xml:space="preserve">SO-2026-0146</t>
  </si>
  <si>
    <t xml:space="preserve">SO-2026-0147</t>
  </si>
  <si>
    <t xml:space="preserve">SO-2026-0148</t>
  </si>
  <si>
    <t xml:space="preserve">SO-2026-0149</t>
  </si>
  <si>
    <t xml:space="preserve">SO-2026-0150</t>
  </si>
  <si>
    <t xml:space="preserve">SO-2026-0151</t>
  </si>
  <si>
    <t xml:space="preserve">SO-2026-0152</t>
  </si>
  <si>
    <t xml:space="preserve">SO-2026-0153</t>
  </si>
  <si>
    <t xml:space="preserve">SO-2026-0154</t>
  </si>
  <si>
    <t xml:space="preserve">SO-2026-0155</t>
  </si>
  <si>
    <t xml:space="preserve">SO-2026-0156</t>
  </si>
  <si>
    <t xml:space="preserve">SO-2026-0157</t>
  </si>
  <si>
    <t xml:space="preserve">SO-2026-0158</t>
  </si>
  <si>
    <t xml:space="preserve">SO-2026-0159</t>
  </si>
  <si>
    <t xml:space="preserve">SO-2026-0160</t>
  </si>
  <si>
    <t xml:space="preserve">单位成本(元)</t>
  </si>
  <si>
    <t xml:space="preserve">供应商</t>
  </si>
  <si>
    <t xml:space="preserve">惠普商用分销</t>
  </si>
  <si>
    <t xml:space="preserve">佳能(中国)</t>
  </si>
  <si>
    <t xml:space="preserve">得力集团</t>
  </si>
  <si>
    <t xml:space="preserve">中控智慧</t>
  </si>
  <si>
    <t xml:space="preserve">联想授权经销商</t>
  </si>
  <si>
    <t xml:space="preserve">戴尔金牌店</t>
  </si>
  <si>
    <t xml:space="preserve">罗技分销</t>
  </si>
  <si>
    <t xml:space="preserve">格之格</t>
  </si>
  <si>
    <t xml:space="preserve">晨光文具</t>
  </si>
  <si>
    <t xml:space="preserve">金山软件</t>
  </si>
  <si>
    <t xml:space="preserve">奇安信</t>
  </si>
  <si>
    <t xml:space="preserve">阿里云渠道</t>
  </si>
  <si>
    <t xml:space="preserve">工号</t>
  </si>
  <si>
    <t xml:space="preserve">姓名</t>
  </si>
  <si>
    <t xml:space="preserve">部门</t>
  </si>
  <si>
    <t xml:space="preserve">性别</t>
  </si>
  <si>
    <t xml:space="preserve">入职日期</t>
  </si>
  <si>
    <t xml:space="preserve">基本工资(元/月)</t>
  </si>
  <si>
    <t xml:space="preserve">联系电话</t>
  </si>
  <si>
    <t xml:space="preserve">E001</t>
  </si>
  <si>
    <t xml:space="preserve">销售一部</t>
  </si>
  <si>
    <t xml:space="preserve">男</t>
  </si>
  <si>
    <t xml:space="preserve">13801023356</t>
  </si>
  <si>
    <t xml:space="preserve">E002</t>
  </si>
  <si>
    <t xml:space="preserve">女</t>
  </si>
  <si>
    <t xml:space="preserve">13915246687</t>
  </si>
  <si>
    <t xml:space="preserve">E003</t>
  </si>
  <si>
    <t xml:space="preserve">销售二部</t>
  </si>
  <si>
    <t xml:space="preserve">13783091245</t>
  </si>
  <si>
    <t xml:space="preserve">E004</t>
  </si>
  <si>
    <t xml:space="preserve">13644577821</t>
  </si>
  <si>
    <t xml:space="preserve">E005</t>
  </si>
  <si>
    <t xml:space="preserve">销售三部</t>
  </si>
  <si>
    <t xml:space="preserve">13567884320</t>
  </si>
  <si>
    <t xml:space="preserve">E006</t>
  </si>
  <si>
    <t xml:space="preserve">15801234567</t>
  </si>
  <si>
    <t xml:space="preserve">E007</t>
  </si>
  <si>
    <t xml:space="preserve">销售四部</t>
  </si>
  <si>
    <t xml:space="preserve">18612340987</t>
  </si>
  <si>
    <t xml:space="preserve">E008</t>
  </si>
  <si>
    <t xml:space="preserve">17709871234</t>
  </si>
  <si>
    <t xml:space="preserve">Excel 练习工作簿 · 任务清单</t>
  </si>
  <si>
    <t xml:space="preserve">数据表：销售明细(160条) / 产品信息(15条) / 销售员名单(8人)。难度：★入门 ★★基础 ★★★进阶 ★★★★挑战。建议按 T01→T24 顺序完成。</t>
  </si>
  <si>
    <t xml:space="preserve">编号</t>
  </si>
  <si>
    <t xml:space="preserve">技能类别</t>
  </si>
  <si>
    <t xml:space="preserve">难度</t>
  </si>
  <si>
    <t xml:space="preserve">任务描述</t>
  </si>
  <si>
    <t xml:space="preserve">T01</t>
  </si>
  <si>
    <t xml:space="preserve">基础操作</t>
  </si>
  <si>
    <t xml:space="preserve">★</t>
  </si>
  <si>
    <t xml:space="preserve">将销售明细按「订单日期」从早到晚排序</t>
  </si>
  <si>
    <t xml:space="preserve">T02</t>
  </si>
  <si>
    <t xml:space="preserve">用筛选功能找出「华东」地区且类别为「办公设备」的所有订单</t>
  </si>
  <si>
    <t xml:space="preserve">T03</t>
  </si>
  <si>
    <t xml:space="preserve">冻结首行，上下滚动 160 条记录时保持表头可见</t>
  </si>
  <si>
    <t xml:space="preserve">T04</t>
  </si>
  <si>
    <t xml:space="preserve">★★</t>
  </si>
  <si>
    <t xml:space="preserve">把「客户名称」列复制到空白区域，用「删除重复值」统计共有多少家客户</t>
  </si>
  <si>
    <t xml:space="preserve">T05</t>
  </si>
  <si>
    <t xml:space="preserve">★★★</t>
  </si>
  <si>
    <t xml:space="preserve">按「销售员」升序 +「销售额」降序进行多级排序</t>
  </si>
  <si>
    <t xml:space="preserve">T06</t>
  </si>
  <si>
    <t xml:space="preserve">常用函数</t>
  </si>
  <si>
    <t xml:space="preserve">用 SUM 计算全部订单销售总额；用 AVERAGE / MAX / MIN 统计单笔平均、最大、最小销售额</t>
  </si>
  <si>
    <t xml:space="preserve">T07</t>
  </si>
  <si>
    <t xml:space="preserve">先列出 8 位销售员姓名，用 SUMIF 统计每人的销售总额（注意绝对引用后下拉）</t>
  </si>
  <si>
    <t xml:space="preserve">T08</t>
  </si>
  <si>
    <t xml:space="preserve">用 SUMIFS 统计 2026 年第二季度（4~6月）「华南」地区的销售额</t>
  </si>
  <si>
    <t xml:space="preserve">T09</t>
  </si>
  <si>
    <t xml:space="preserve">用 COUNTIF 统计各产品类别的订单笔数</t>
  </si>
  <si>
    <t xml:space="preserve">T10</t>
  </si>
  <si>
    <t xml:space="preserve">用 VLOOKUP 从「产品信息」表引入每笔订单的单位成本，计算毛利 =(单价−成本)×数量</t>
  </si>
  <si>
    <t xml:space="preserve">T11</t>
  </si>
  <si>
    <t xml:space="preserve">用 VLOOKUP 或 XLOOKUP 从「销售员名单」引入每位销售员的部门，并用 IFERROR 处理查不到的情况</t>
  </si>
  <si>
    <t xml:space="preserve">T12</t>
  </si>
  <si>
    <t xml:space="preserve">用 IF 判断单笔销售额：≥10000 显示「大单」，否则显示「普通」</t>
  </si>
  <si>
    <t xml:space="preserve">T13</t>
  </si>
  <si>
    <t xml:space="preserve">用 TEXT(订单日期,"yyyy年m月") 提取年月，再配合 SUMIF 做月度销售汇总</t>
  </si>
  <si>
    <t xml:space="preserve">T14</t>
  </si>
  <si>
    <t xml:space="preserve">用 DATEDIF 计算销售员名单中每人的司龄（年）</t>
  </si>
  <si>
    <t xml:space="preserve">T15</t>
  </si>
  <si>
    <t xml:space="preserve">★★★★</t>
  </si>
  <si>
    <t xml:space="preserve">用 INDEX+MATCH 查找「销售额最高那笔订单」对应的客户名称（提示：先 MAX 再 MATCH）</t>
  </si>
  <si>
    <t xml:space="preserve">T16</t>
  </si>
  <si>
    <t xml:space="preserve">数据透视表</t>
  </si>
  <si>
    <t xml:space="preserve">创建透视表：行=销售员，值=销售额求和，找出销售冠军</t>
  </si>
  <si>
    <t xml:space="preserve">T17</t>
  </si>
  <si>
    <t xml:space="preserve">创建透视表：行=地区，列=类别，值=销售额，分析各地区的品类结构</t>
  </si>
  <si>
    <t xml:space="preserve">T18</t>
  </si>
  <si>
    <t xml:space="preserve">透视表中把「订单日期」按月组合，查看月度销售趋势</t>
  </si>
  <si>
    <t xml:space="preserve">T19</t>
  </si>
  <si>
    <t xml:space="preserve">图表制作</t>
  </si>
  <si>
    <t xml:space="preserve">用各销售员销售额数据制作簇状柱形图</t>
  </si>
  <si>
    <t xml:space="preserve">T20</t>
  </si>
  <si>
    <t xml:space="preserve">基于月度汇总制作销售额趋势折线图</t>
  </si>
  <si>
    <t xml:space="preserve">T21</t>
  </si>
  <si>
    <t xml:space="preserve">条件格式</t>
  </si>
  <si>
    <t xml:space="preserve">为「销售额」列添加数据条</t>
  </si>
  <si>
    <t xml:space="preserve">T22</t>
  </si>
  <si>
    <t xml:space="preserve">自定义规则突出显示销售额排名前 10% 的订单</t>
  </si>
  <si>
    <t xml:space="preserve">T23</t>
  </si>
  <si>
    <t xml:space="preserve">综合挑战</t>
  </si>
  <si>
    <t xml:space="preserve">制作销售看板：总销售额、总订单数、平均客单价、销售冠军姓名四个 KPI（SUM / COUNTA / AVERAGE / INDEX+MATCH）</t>
  </si>
  <si>
    <t xml:space="preserve">T24</t>
  </si>
  <si>
    <t xml:space="preserve">计算每位销售员的毛利贡献（VLOOKUP 引成本 + SUMIF 汇总毛利），并用 RANK 排名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</si>
</sst>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¥#,##0.00"/>
    <numFmt numFmtId="167" formatCode="\¥#,##0"/>
  </numFmts>
  <fonts count="9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b val="true"/>
      <sz val="14"/>
      <color rgb="FF1F3864"/>
      <name val="微软雅黑"/>
      <family val="0"/>
      <charset val="1"/>
    </font>
    <font>
      <i val="true"/>
      <sz val="9"/>
      <color rgb="FF7F7F7F"/>
      <name val="微软雅黑"/>
      <family val="0"/>
      <charset val="1"/>
    </font>
    <font>
      <sz val="10"/>
      <color rgb="FFED7D31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FFFFFF"/>
        <bgColor rgb="FFF2F6FC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6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1.xml"/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2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3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drawing" Target="../drawings/drawing_wm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11.83"/>
    <col collapsed="false" customWidth="true" hidden="false" outlineLevel="0" max="2" min="2" style="0" width="10.92"/>
    <col collapsed="false" customWidth="true" hidden="false" outlineLevel="0" max="3" min="3" style="0" width="24.56"/>
    <col collapsed="false" customWidth="true" hidden="false" outlineLevel="0" max="4" min="4" style="0" width="8.19"/>
    <col collapsed="false" customWidth="true" hidden="false" outlineLevel="0" max="5" min="5" style="0" width="7.28"/>
    <col collapsed="false" customWidth="true" hidden="false" outlineLevel="0" max="6" min="6" style="0" width="9.1"/>
    <col collapsed="false" customWidth="true" hidden="false" outlineLevel="0" max="7" min="7" style="0" width="23.66"/>
    <col collapsed="false" customWidth="true" hidden="false" outlineLevel="0" max="8" min="8" style="0" width="9.1"/>
    <col collapsed="false" customWidth="true" hidden="false" outlineLevel="0" max="9" min="9" style="0" width="10.92"/>
    <col collapsed="false" customWidth="true" hidden="false" outlineLevel="0" max="10" min="10" style="0" width="7.28"/>
    <col collapsed="false" customWidth="true" hidden="false" outlineLevel="0" max="11" min="11" style="0" width="12.7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46028</v>
      </c>
      <c r="C2" s="4" t="s">
        <v>12</v>
      </c>
      <c r="D2" s="2" t="s">
        <v>13</v>
      </c>
      <c r="E2" s="2" t="s">
        <v>14</v>
      </c>
      <c r="F2" s="2" t="s">
        <v>15</v>
      </c>
      <c r="G2" s="4" t="s">
        <v>16</v>
      </c>
      <c r="H2" s="2" t="s">
        <v>17</v>
      </c>
      <c r="I2" s="5" t="n">
        <v>45</v>
      </c>
      <c r="J2" s="2" t="n">
        <v>106</v>
      </c>
      <c r="K2" s="5" t="n">
        <f aca="false">ROUND(I2*J2,2)</f>
        <v>4770</v>
      </c>
    </row>
    <row r="3" customFormat="false" ht="15" hidden="false" customHeight="false" outlineLevel="0" collapsed="false">
      <c r="A3" s="6" t="s">
        <v>18</v>
      </c>
      <c r="B3" s="7" t="n">
        <v>46032</v>
      </c>
      <c r="C3" s="8" t="s">
        <v>12</v>
      </c>
      <c r="D3" s="6" t="s">
        <v>19</v>
      </c>
      <c r="E3" s="6" t="s">
        <v>14</v>
      </c>
      <c r="F3" s="6" t="s">
        <v>20</v>
      </c>
      <c r="G3" s="8" t="s">
        <v>21</v>
      </c>
      <c r="H3" s="6" t="s">
        <v>22</v>
      </c>
      <c r="I3" s="9" t="n">
        <v>3599</v>
      </c>
      <c r="J3" s="6" t="n">
        <v>4</v>
      </c>
      <c r="K3" s="9" t="n">
        <f aca="false">ROUND(I3*J3,2)</f>
        <v>14396</v>
      </c>
    </row>
    <row r="4" customFormat="false" ht="15" hidden="false" customHeight="false" outlineLevel="0" collapsed="false">
      <c r="A4" s="2" t="s">
        <v>23</v>
      </c>
      <c r="B4" s="3" t="n">
        <v>46033</v>
      </c>
      <c r="C4" s="4" t="s">
        <v>12</v>
      </c>
      <c r="D4" s="2" t="s">
        <v>24</v>
      </c>
      <c r="E4" s="2" t="s">
        <v>14</v>
      </c>
      <c r="F4" s="2" t="s">
        <v>25</v>
      </c>
      <c r="G4" s="4" t="s">
        <v>26</v>
      </c>
      <c r="H4" s="2" t="s">
        <v>27</v>
      </c>
      <c r="I4" s="5" t="n">
        <v>5699</v>
      </c>
      <c r="J4" s="2" t="n">
        <v>1</v>
      </c>
      <c r="K4" s="5" t="n">
        <f aca="false">ROUND(I4*J4,2)</f>
        <v>5699</v>
      </c>
    </row>
    <row r="5" customFormat="false" ht="15" hidden="false" customHeight="false" outlineLevel="0" collapsed="false">
      <c r="A5" s="6" t="s">
        <v>28</v>
      </c>
      <c r="B5" s="7" t="n">
        <v>46038</v>
      </c>
      <c r="C5" s="8" t="s">
        <v>29</v>
      </c>
      <c r="D5" s="6" t="s">
        <v>30</v>
      </c>
      <c r="E5" s="6" t="s">
        <v>31</v>
      </c>
      <c r="F5" s="6" t="s">
        <v>15</v>
      </c>
      <c r="G5" s="8" t="s">
        <v>16</v>
      </c>
      <c r="H5" s="6" t="s">
        <v>17</v>
      </c>
      <c r="I5" s="9" t="n">
        <v>45</v>
      </c>
      <c r="J5" s="6" t="n">
        <v>94</v>
      </c>
      <c r="K5" s="9" t="n">
        <f aca="false">ROUND(I5*J5,2)</f>
        <v>4230</v>
      </c>
    </row>
    <row r="6" customFormat="false" ht="15" hidden="false" customHeight="false" outlineLevel="0" collapsed="false">
      <c r="A6" s="2" t="s">
        <v>32</v>
      </c>
      <c r="B6" s="3" t="n">
        <v>46038</v>
      </c>
      <c r="C6" s="4" t="s">
        <v>33</v>
      </c>
      <c r="D6" s="2" t="s">
        <v>13</v>
      </c>
      <c r="E6" s="2" t="s">
        <v>34</v>
      </c>
      <c r="F6" s="2" t="s">
        <v>35</v>
      </c>
      <c r="G6" s="4" t="s">
        <v>36</v>
      </c>
      <c r="H6" s="2" t="s">
        <v>17</v>
      </c>
      <c r="I6" s="5" t="n">
        <v>89</v>
      </c>
      <c r="J6" s="2" t="n">
        <v>10</v>
      </c>
      <c r="K6" s="5" t="n">
        <f aca="false">ROUND(I6*J6,2)</f>
        <v>890</v>
      </c>
    </row>
    <row r="7" customFormat="false" ht="15" hidden="false" customHeight="false" outlineLevel="0" collapsed="false">
      <c r="A7" s="6" t="s">
        <v>37</v>
      </c>
      <c r="B7" s="7" t="n">
        <v>46039</v>
      </c>
      <c r="C7" s="8" t="s">
        <v>38</v>
      </c>
      <c r="D7" s="6" t="s">
        <v>13</v>
      </c>
      <c r="E7" s="6" t="s">
        <v>39</v>
      </c>
      <c r="F7" s="6" t="s">
        <v>40</v>
      </c>
      <c r="G7" s="8" t="s">
        <v>41</v>
      </c>
      <c r="H7" s="6" t="s">
        <v>22</v>
      </c>
      <c r="I7" s="9" t="n">
        <v>899</v>
      </c>
      <c r="J7" s="6" t="n">
        <v>2</v>
      </c>
      <c r="K7" s="9" t="n">
        <f aca="false">ROUND(I7*J7,2)</f>
        <v>1798</v>
      </c>
    </row>
    <row r="8" customFormat="false" ht="15" hidden="false" customHeight="false" outlineLevel="0" collapsed="false">
      <c r="A8" s="2" t="s">
        <v>42</v>
      </c>
      <c r="B8" s="3" t="n">
        <v>46039</v>
      </c>
      <c r="C8" s="4" t="s">
        <v>43</v>
      </c>
      <c r="D8" s="2" t="s">
        <v>24</v>
      </c>
      <c r="E8" s="2" t="s">
        <v>44</v>
      </c>
      <c r="F8" s="2" t="s">
        <v>45</v>
      </c>
      <c r="G8" s="4" t="s">
        <v>46</v>
      </c>
      <c r="H8" s="2" t="s">
        <v>27</v>
      </c>
      <c r="I8" s="5" t="n">
        <v>299</v>
      </c>
      <c r="J8" s="2" t="n">
        <v>10</v>
      </c>
      <c r="K8" s="5" t="n">
        <f aca="false">ROUND(I8*J8,2)</f>
        <v>2990</v>
      </c>
    </row>
    <row r="9" customFormat="false" ht="15" hidden="false" customHeight="false" outlineLevel="0" collapsed="false">
      <c r="A9" s="6" t="s">
        <v>47</v>
      </c>
      <c r="B9" s="7" t="n">
        <v>46040</v>
      </c>
      <c r="C9" s="8" t="s">
        <v>48</v>
      </c>
      <c r="D9" s="6" t="s">
        <v>24</v>
      </c>
      <c r="E9" s="6" t="s">
        <v>34</v>
      </c>
      <c r="F9" s="6" t="s">
        <v>49</v>
      </c>
      <c r="G9" s="8" t="s">
        <v>50</v>
      </c>
      <c r="H9" s="6" t="s">
        <v>51</v>
      </c>
      <c r="I9" s="9" t="n">
        <v>699</v>
      </c>
      <c r="J9" s="6" t="n">
        <v>8</v>
      </c>
      <c r="K9" s="9" t="n">
        <f aca="false">ROUND(I9*J9,2)</f>
        <v>5592</v>
      </c>
    </row>
    <row r="10" customFormat="false" ht="15" hidden="false" customHeight="false" outlineLevel="0" collapsed="false">
      <c r="A10" s="2" t="s">
        <v>52</v>
      </c>
      <c r="B10" s="3" t="n">
        <v>46040</v>
      </c>
      <c r="C10" s="4" t="s">
        <v>12</v>
      </c>
      <c r="D10" s="2" t="s">
        <v>13</v>
      </c>
      <c r="E10" s="2" t="s">
        <v>14</v>
      </c>
      <c r="F10" s="2" t="s">
        <v>49</v>
      </c>
      <c r="G10" s="4" t="s">
        <v>50</v>
      </c>
      <c r="H10" s="2" t="s">
        <v>51</v>
      </c>
      <c r="I10" s="5" t="n">
        <v>699</v>
      </c>
      <c r="J10" s="2" t="n">
        <v>7</v>
      </c>
      <c r="K10" s="5" t="n">
        <f aca="false">ROUND(I10*J10,2)</f>
        <v>4893</v>
      </c>
    </row>
    <row r="11" customFormat="false" ht="15" hidden="false" customHeight="false" outlineLevel="0" collapsed="false">
      <c r="A11" s="6" t="s">
        <v>53</v>
      </c>
      <c r="B11" s="7" t="n">
        <v>46045</v>
      </c>
      <c r="C11" s="8" t="s">
        <v>54</v>
      </c>
      <c r="D11" s="6" t="s">
        <v>55</v>
      </c>
      <c r="E11" s="6" t="s">
        <v>14</v>
      </c>
      <c r="F11" s="6" t="s">
        <v>35</v>
      </c>
      <c r="G11" s="8" t="s">
        <v>36</v>
      </c>
      <c r="H11" s="6" t="s">
        <v>17</v>
      </c>
      <c r="I11" s="9" t="n">
        <v>89</v>
      </c>
      <c r="J11" s="6" t="n">
        <v>11</v>
      </c>
      <c r="K11" s="9" t="n">
        <f aca="false">ROUND(I11*J11,2)</f>
        <v>979</v>
      </c>
    </row>
    <row r="12" customFormat="false" ht="15" hidden="false" customHeight="false" outlineLevel="0" collapsed="false">
      <c r="A12" s="2" t="s">
        <v>56</v>
      </c>
      <c r="B12" s="3" t="n">
        <v>46047</v>
      </c>
      <c r="C12" s="4" t="s">
        <v>12</v>
      </c>
      <c r="D12" s="2" t="s">
        <v>24</v>
      </c>
      <c r="E12" s="2" t="s">
        <v>14</v>
      </c>
      <c r="F12" s="2" t="s">
        <v>57</v>
      </c>
      <c r="G12" s="4" t="s">
        <v>58</v>
      </c>
      <c r="H12" s="2" t="s">
        <v>27</v>
      </c>
      <c r="I12" s="5" t="n">
        <v>1299</v>
      </c>
      <c r="J12" s="2" t="n">
        <v>4</v>
      </c>
      <c r="K12" s="5" t="n">
        <f aca="false">ROUND(I12*J12,2)</f>
        <v>5196</v>
      </c>
    </row>
    <row r="13" customFormat="false" ht="15" hidden="false" customHeight="false" outlineLevel="0" collapsed="false">
      <c r="A13" s="6" t="s">
        <v>59</v>
      </c>
      <c r="B13" s="7" t="n">
        <v>46047</v>
      </c>
      <c r="C13" s="8" t="s">
        <v>43</v>
      </c>
      <c r="D13" s="6" t="s">
        <v>55</v>
      </c>
      <c r="E13" s="6" t="s">
        <v>44</v>
      </c>
      <c r="F13" s="6" t="s">
        <v>49</v>
      </c>
      <c r="G13" s="8" t="s">
        <v>50</v>
      </c>
      <c r="H13" s="6" t="s">
        <v>51</v>
      </c>
      <c r="I13" s="9" t="n">
        <v>699</v>
      </c>
      <c r="J13" s="6" t="n">
        <v>7</v>
      </c>
      <c r="K13" s="9" t="n">
        <f aca="false">ROUND(I13*J13,2)</f>
        <v>4893</v>
      </c>
    </row>
    <row r="14" customFormat="false" ht="15" hidden="false" customHeight="false" outlineLevel="0" collapsed="false">
      <c r="A14" s="2" t="s">
        <v>60</v>
      </c>
      <c r="B14" s="3" t="n">
        <v>46047</v>
      </c>
      <c r="C14" s="4" t="s">
        <v>29</v>
      </c>
      <c r="D14" s="2" t="s">
        <v>61</v>
      </c>
      <c r="E14" s="2" t="s">
        <v>31</v>
      </c>
      <c r="F14" s="2" t="s">
        <v>62</v>
      </c>
      <c r="G14" s="4" t="s">
        <v>63</v>
      </c>
      <c r="H14" s="2" t="s">
        <v>22</v>
      </c>
      <c r="I14" s="5" t="n">
        <v>2499</v>
      </c>
      <c r="J14" s="2" t="n">
        <v>7</v>
      </c>
      <c r="K14" s="5" t="n">
        <f aca="false">ROUND(I14*J14,2)</f>
        <v>17493</v>
      </c>
    </row>
    <row r="15" customFormat="false" ht="15" hidden="false" customHeight="false" outlineLevel="0" collapsed="false">
      <c r="A15" s="6" t="s">
        <v>64</v>
      </c>
      <c r="B15" s="7" t="n">
        <v>46050</v>
      </c>
      <c r="C15" s="8" t="s">
        <v>65</v>
      </c>
      <c r="D15" s="6" t="s">
        <v>30</v>
      </c>
      <c r="E15" s="6" t="s">
        <v>34</v>
      </c>
      <c r="F15" s="6" t="s">
        <v>45</v>
      </c>
      <c r="G15" s="8" t="s">
        <v>46</v>
      </c>
      <c r="H15" s="6" t="s">
        <v>27</v>
      </c>
      <c r="I15" s="9" t="n">
        <v>299</v>
      </c>
      <c r="J15" s="6" t="n">
        <v>7</v>
      </c>
      <c r="K15" s="9" t="n">
        <f aca="false">ROUND(I15*J15,2)</f>
        <v>2093</v>
      </c>
    </row>
    <row r="16" customFormat="false" ht="15" hidden="false" customHeight="false" outlineLevel="0" collapsed="false">
      <c r="A16" s="2" t="s">
        <v>66</v>
      </c>
      <c r="B16" s="3" t="n">
        <v>46052</v>
      </c>
      <c r="C16" s="4" t="s">
        <v>67</v>
      </c>
      <c r="D16" s="2" t="s">
        <v>24</v>
      </c>
      <c r="E16" s="2" t="s">
        <v>68</v>
      </c>
      <c r="F16" s="2" t="s">
        <v>69</v>
      </c>
      <c r="G16" s="4" t="s">
        <v>70</v>
      </c>
      <c r="H16" s="2" t="s">
        <v>51</v>
      </c>
      <c r="I16" s="5" t="n">
        <v>599</v>
      </c>
      <c r="J16" s="2" t="n">
        <v>6</v>
      </c>
      <c r="K16" s="5" t="n">
        <f aca="false">ROUND(I16*J16,2)</f>
        <v>3594</v>
      </c>
    </row>
    <row r="17" customFormat="false" ht="15" hidden="false" customHeight="false" outlineLevel="0" collapsed="false">
      <c r="A17" s="6" t="s">
        <v>71</v>
      </c>
      <c r="B17" s="7" t="n">
        <v>46055</v>
      </c>
      <c r="C17" s="8" t="s">
        <v>33</v>
      </c>
      <c r="D17" s="6" t="s">
        <v>61</v>
      </c>
      <c r="E17" s="6" t="s">
        <v>34</v>
      </c>
      <c r="F17" s="6" t="s">
        <v>72</v>
      </c>
      <c r="G17" s="8" t="s">
        <v>73</v>
      </c>
      <c r="H17" s="6" t="s">
        <v>17</v>
      </c>
      <c r="I17" s="9" t="n">
        <v>128</v>
      </c>
      <c r="J17" s="6" t="n">
        <v>56</v>
      </c>
      <c r="K17" s="9" t="n">
        <f aca="false">ROUND(I17*J17,2)</f>
        <v>7168</v>
      </c>
    </row>
    <row r="18" customFormat="false" ht="15" hidden="false" customHeight="false" outlineLevel="0" collapsed="false">
      <c r="A18" s="2" t="s">
        <v>74</v>
      </c>
      <c r="B18" s="3" t="n">
        <v>46058</v>
      </c>
      <c r="C18" s="4" t="s">
        <v>33</v>
      </c>
      <c r="D18" s="2" t="s">
        <v>75</v>
      </c>
      <c r="E18" s="2" t="s">
        <v>34</v>
      </c>
      <c r="F18" s="2" t="s">
        <v>15</v>
      </c>
      <c r="G18" s="4" t="s">
        <v>16</v>
      </c>
      <c r="H18" s="2" t="s">
        <v>17</v>
      </c>
      <c r="I18" s="5" t="n">
        <v>45</v>
      </c>
      <c r="J18" s="2" t="n">
        <v>102</v>
      </c>
      <c r="K18" s="5" t="n">
        <f aca="false">ROUND(I18*J18,2)</f>
        <v>4590</v>
      </c>
    </row>
    <row r="19" customFormat="false" ht="15" hidden="false" customHeight="false" outlineLevel="0" collapsed="false">
      <c r="A19" s="6" t="s">
        <v>76</v>
      </c>
      <c r="B19" s="7" t="n">
        <v>46060</v>
      </c>
      <c r="C19" s="8" t="s">
        <v>29</v>
      </c>
      <c r="D19" s="6" t="s">
        <v>19</v>
      </c>
      <c r="E19" s="6" t="s">
        <v>31</v>
      </c>
      <c r="F19" s="6" t="s">
        <v>72</v>
      </c>
      <c r="G19" s="8" t="s">
        <v>73</v>
      </c>
      <c r="H19" s="6" t="s">
        <v>17</v>
      </c>
      <c r="I19" s="9" t="n">
        <v>128</v>
      </c>
      <c r="J19" s="6" t="n">
        <v>54</v>
      </c>
      <c r="K19" s="9" t="n">
        <f aca="false">ROUND(I19*J19,2)</f>
        <v>6912</v>
      </c>
    </row>
    <row r="20" customFormat="false" ht="15" hidden="false" customHeight="false" outlineLevel="0" collapsed="false">
      <c r="A20" s="2" t="s">
        <v>77</v>
      </c>
      <c r="B20" s="3" t="n">
        <v>46065</v>
      </c>
      <c r="C20" s="4" t="s">
        <v>78</v>
      </c>
      <c r="D20" s="2" t="s">
        <v>55</v>
      </c>
      <c r="E20" s="2" t="s">
        <v>39</v>
      </c>
      <c r="F20" s="2" t="s">
        <v>20</v>
      </c>
      <c r="G20" s="4" t="s">
        <v>21</v>
      </c>
      <c r="H20" s="2" t="s">
        <v>22</v>
      </c>
      <c r="I20" s="5" t="n">
        <v>3599</v>
      </c>
      <c r="J20" s="2" t="n">
        <v>4</v>
      </c>
      <c r="K20" s="5" t="n">
        <f aca="false">ROUND(I20*J20,2)</f>
        <v>14396</v>
      </c>
    </row>
    <row r="21" customFormat="false" ht="15" hidden="false" customHeight="false" outlineLevel="0" collapsed="false">
      <c r="A21" s="6" t="s">
        <v>79</v>
      </c>
      <c r="B21" s="7" t="n">
        <v>46066</v>
      </c>
      <c r="C21" s="8" t="s">
        <v>80</v>
      </c>
      <c r="D21" s="6" t="s">
        <v>30</v>
      </c>
      <c r="E21" s="6" t="s">
        <v>34</v>
      </c>
      <c r="F21" s="6" t="s">
        <v>45</v>
      </c>
      <c r="G21" s="8" t="s">
        <v>46</v>
      </c>
      <c r="H21" s="6" t="s">
        <v>27</v>
      </c>
      <c r="I21" s="9" t="n">
        <v>299</v>
      </c>
      <c r="J21" s="6" t="n">
        <v>4</v>
      </c>
      <c r="K21" s="9" t="n">
        <f aca="false">ROUND(I21*J21,2)</f>
        <v>1196</v>
      </c>
    </row>
    <row r="22" customFormat="false" ht="15" hidden="false" customHeight="false" outlineLevel="0" collapsed="false">
      <c r="A22" s="2" t="s">
        <v>81</v>
      </c>
      <c r="B22" s="3" t="n">
        <v>46066</v>
      </c>
      <c r="C22" s="4" t="s">
        <v>29</v>
      </c>
      <c r="D22" s="2" t="s">
        <v>55</v>
      </c>
      <c r="E22" s="2" t="s">
        <v>31</v>
      </c>
      <c r="F22" s="2" t="s">
        <v>15</v>
      </c>
      <c r="G22" s="4" t="s">
        <v>16</v>
      </c>
      <c r="H22" s="2" t="s">
        <v>17</v>
      </c>
      <c r="I22" s="5" t="n">
        <v>45</v>
      </c>
      <c r="J22" s="2" t="n">
        <v>34</v>
      </c>
      <c r="K22" s="5" t="n">
        <f aca="false">ROUND(I22*J22,2)</f>
        <v>1530</v>
      </c>
    </row>
    <row r="23" customFormat="false" ht="15" hidden="false" customHeight="false" outlineLevel="0" collapsed="false">
      <c r="A23" s="6" t="s">
        <v>82</v>
      </c>
      <c r="B23" s="7" t="n">
        <v>46066</v>
      </c>
      <c r="C23" s="8" t="s">
        <v>78</v>
      </c>
      <c r="D23" s="6" t="s">
        <v>75</v>
      </c>
      <c r="E23" s="6" t="s">
        <v>39</v>
      </c>
      <c r="F23" s="6" t="s">
        <v>15</v>
      </c>
      <c r="G23" s="8" t="s">
        <v>16</v>
      </c>
      <c r="H23" s="6" t="s">
        <v>17</v>
      </c>
      <c r="I23" s="9" t="n">
        <v>45</v>
      </c>
      <c r="J23" s="6" t="n">
        <v>44</v>
      </c>
      <c r="K23" s="9" t="n">
        <f aca="false">ROUND(I23*J23,2)</f>
        <v>1980</v>
      </c>
    </row>
    <row r="24" customFormat="false" ht="15" hidden="false" customHeight="false" outlineLevel="0" collapsed="false">
      <c r="A24" s="2" t="s">
        <v>83</v>
      </c>
      <c r="B24" s="3" t="n">
        <v>46067</v>
      </c>
      <c r="C24" s="4" t="s">
        <v>84</v>
      </c>
      <c r="D24" s="2" t="s">
        <v>30</v>
      </c>
      <c r="E24" s="2" t="s">
        <v>39</v>
      </c>
      <c r="F24" s="2" t="s">
        <v>85</v>
      </c>
      <c r="G24" s="4" t="s">
        <v>86</v>
      </c>
      <c r="H24" s="2" t="s">
        <v>17</v>
      </c>
      <c r="I24" s="5" t="n">
        <v>385</v>
      </c>
      <c r="J24" s="2" t="n">
        <v>105</v>
      </c>
      <c r="K24" s="5" t="n">
        <f aca="false">ROUND(I24*J24,2)</f>
        <v>40425</v>
      </c>
    </row>
    <row r="25" customFormat="false" ht="15" hidden="false" customHeight="false" outlineLevel="0" collapsed="false">
      <c r="A25" s="6" t="s">
        <v>87</v>
      </c>
      <c r="B25" s="7" t="n">
        <v>46072</v>
      </c>
      <c r="C25" s="8" t="s">
        <v>88</v>
      </c>
      <c r="D25" s="6" t="s">
        <v>13</v>
      </c>
      <c r="E25" s="6" t="s">
        <v>34</v>
      </c>
      <c r="F25" s="6" t="s">
        <v>35</v>
      </c>
      <c r="G25" s="8" t="s">
        <v>36</v>
      </c>
      <c r="H25" s="6" t="s">
        <v>17</v>
      </c>
      <c r="I25" s="9" t="n">
        <v>89</v>
      </c>
      <c r="J25" s="6" t="n">
        <v>62</v>
      </c>
      <c r="K25" s="9" t="n">
        <f aca="false">ROUND(I25*J25,2)</f>
        <v>5518</v>
      </c>
    </row>
    <row r="26" customFormat="false" ht="15" hidden="false" customHeight="false" outlineLevel="0" collapsed="false">
      <c r="A26" s="2" t="s">
        <v>89</v>
      </c>
      <c r="B26" s="3" t="n">
        <v>46081</v>
      </c>
      <c r="C26" s="4" t="s">
        <v>12</v>
      </c>
      <c r="D26" s="2" t="s">
        <v>75</v>
      </c>
      <c r="E26" s="2" t="s">
        <v>14</v>
      </c>
      <c r="F26" s="2" t="s">
        <v>72</v>
      </c>
      <c r="G26" s="4" t="s">
        <v>73</v>
      </c>
      <c r="H26" s="2" t="s">
        <v>17</v>
      </c>
      <c r="I26" s="5" t="n">
        <v>128</v>
      </c>
      <c r="J26" s="2" t="n">
        <v>120</v>
      </c>
      <c r="K26" s="5" t="n">
        <f aca="false">ROUND(I26*J26,2)</f>
        <v>15360</v>
      </c>
    </row>
    <row r="27" customFormat="false" ht="15" hidden="false" customHeight="false" outlineLevel="0" collapsed="false">
      <c r="A27" s="6" t="s">
        <v>90</v>
      </c>
      <c r="B27" s="7" t="n">
        <v>46081</v>
      </c>
      <c r="C27" s="8" t="s">
        <v>48</v>
      </c>
      <c r="D27" s="6" t="s">
        <v>91</v>
      </c>
      <c r="E27" s="6" t="s">
        <v>34</v>
      </c>
      <c r="F27" s="6" t="s">
        <v>92</v>
      </c>
      <c r="G27" s="8" t="s">
        <v>93</v>
      </c>
      <c r="H27" s="6" t="s">
        <v>22</v>
      </c>
      <c r="I27" s="9" t="n">
        <v>1299</v>
      </c>
      <c r="J27" s="6" t="n">
        <v>2</v>
      </c>
      <c r="K27" s="9" t="n">
        <f aca="false">ROUND(I27*J27,2)</f>
        <v>2598</v>
      </c>
    </row>
    <row r="28" customFormat="false" ht="15" hidden="false" customHeight="false" outlineLevel="0" collapsed="false">
      <c r="A28" s="2" t="s">
        <v>94</v>
      </c>
      <c r="B28" s="3" t="n">
        <v>46083</v>
      </c>
      <c r="C28" s="4" t="s">
        <v>78</v>
      </c>
      <c r="D28" s="2" t="s">
        <v>91</v>
      </c>
      <c r="E28" s="2" t="s">
        <v>39</v>
      </c>
      <c r="F28" s="2" t="s">
        <v>72</v>
      </c>
      <c r="G28" s="4" t="s">
        <v>73</v>
      </c>
      <c r="H28" s="2" t="s">
        <v>17</v>
      </c>
      <c r="I28" s="5" t="n">
        <v>128</v>
      </c>
      <c r="J28" s="2" t="n">
        <v>27</v>
      </c>
      <c r="K28" s="5" t="n">
        <f aca="false">ROUND(I28*J28,2)</f>
        <v>3456</v>
      </c>
    </row>
    <row r="29" customFormat="false" ht="15" hidden="false" customHeight="false" outlineLevel="0" collapsed="false">
      <c r="A29" s="6" t="s">
        <v>95</v>
      </c>
      <c r="B29" s="7" t="n">
        <v>46085</v>
      </c>
      <c r="C29" s="8" t="s">
        <v>54</v>
      </c>
      <c r="D29" s="6" t="s">
        <v>24</v>
      </c>
      <c r="E29" s="6" t="s">
        <v>14</v>
      </c>
      <c r="F29" s="6" t="s">
        <v>35</v>
      </c>
      <c r="G29" s="8" t="s">
        <v>36</v>
      </c>
      <c r="H29" s="6" t="s">
        <v>17</v>
      </c>
      <c r="I29" s="9" t="n">
        <v>89</v>
      </c>
      <c r="J29" s="6" t="n">
        <v>38</v>
      </c>
      <c r="K29" s="9" t="n">
        <f aca="false">ROUND(I29*J29,2)</f>
        <v>3382</v>
      </c>
    </row>
    <row r="30" customFormat="false" ht="15" hidden="false" customHeight="false" outlineLevel="0" collapsed="false">
      <c r="A30" s="2" t="s">
        <v>96</v>
      </c>
      <c r="B30" s="3" t="n">
        <v>46087</v>
      </c>
      <c r="C30" s="4" t="s">
        <v>65</v>
      </c>
      <c r="D30" s="2" t="s">
        <v>30</v>
      </c>
      <c r="E30" s="2" t="s">
        <v>34</v>
      </c>
      <c r="F30" s="2" t="s">
        <v>15</v>
      </c>
      <c r="G30" s="4" t="s">
        <v>16</v>
      </c>
      <c r="H30" s="2" t="s">
        <v>17</v>
      </c>
      <c r="I30" s="5" t="n">
        <v>45</v>
      </c>
      <c r="J30" s="2" t="n">
        <v>120</v>
      </c>
      <c r="K30" s="5" t="n">
        <f aca="false">ROUND(I30*J30,2)</f>
        <v>5400</v>
      </c>
    </row>
    <row r="31" customFormat="false" ht="15" hidden="false" customHeight="false" outlineLevel="0" collapsed="false">
      <c r="A31" s="6" t="s">
        <v>97</v>
      </c>
      <c r="B31" s="7" t="n">
        <v>46087</v>
      </c>
      <c r="C31" s="8" t="s">
        <v>88</v>
      </c>
      <c r="D31" s="6" t="s">
        <v>24</v>
      </c>
      <c r="E31" s="6" t="s">
        <v>34</v>
      </c>
      <c r="F31" s="6" t="s">
        <v>98</v>
      </c>
      <c r="G31" s="8" t="s">
        <v>99</v>
      </c>
      <c r="H31" s="6" t="s">
        <v>51</v>
      </c>
      <c r="I31" s="9" t="n">
        <v>899</v>
      </c>
      <c r="J31" s="6" t="n">
        <v>21</v>
      </c>
      <c r="K31" s="9" t="n">
        <f aca="false">ROUND(I31*J31,2)</f>
        <v>18879</v>
      </c>
    </row>
    <row r="32" customFormat="false" ht="15" hidden="false" customHeight="false" outlineLevel="0" collapsed="false">
      <c r="A32" s="2" t="s">
        <v>100</v>
      </c>
      <c r="B32" s="3" t="n">
        <v>46088</v>
      </c>
      <c r="C32" s="4" t="s">
        <v>12</v>
      </c>
      <c r="D32" s="2" t="s">
        <v>30</v>
      </c>
      <c r="E32" s="2" t="s">
        <v>14</v>
      </c>
      <c r="F32" s="2" t="s">
        <v>15</v>
      </c>
      <c r="G32" s="4" t="s">
        <v>16</v>
      </c>
      <c r="H32" s="2" t="s">
        <v>17</v>
      </c>
      <c r="I32" s="5" t="n">
        <v>45</v>
      </c>
      <c r="J32" s="2" t="n">
        <v>43</v>
      </c>
      <c r="K32" s="5" t="n">
        <f aca="false">ROUND(I32*J32,2)</f>
        <v>1935</v>
      </c>
    </row>
    <row r="33" customFormat="false" ht="15" hidden="false" customHeight="false" outlineLevel="0" collapsed="false">
      <c r="A33" s="6" t="s">
        <v>101</v>
      </c>
      <c r="B33" s="7" t="n">
        <v>46090</v>
      </c>
      <c r="C33" s="8" t="s">
        <v>67</v>
      </c>
      <c r="D33" s="6" t="s">
        <v>75</v>
      </c>
      <c r="E33" s="6" t="s">
        <v>68</v>
      </c>
      <c r="F33" s="6" t="s">
        <v>57</v>
      </c>
      <c r="G33" s="8" t="s">
        <v>58</v>
      </c>
      <c r="H33" s="6" t="s">
        <v>27</v>
      </c>
      <c r="I33" s="9" t="n">
        <v>1299</v>
      </c>
      <c r="J33" s="6" t="n">
        <v>12</v>
      </c>
      <c r="K33" s="9" t="n">
        <f aca="false">ROUND(I33*J33,2)</f>
        <v>15588</v>
      </c>
    </row>
    <row r="34" customFormat="false" ht="15" hidden="false" customHeight="false" outlineLevel="0" collapsed="false">
      <c r="A34" s="2" t="s">
        <v>102</v>
      </c>
      <c r="B34" s="3" t="n">
        <v>46090</v>
      </c>
      <c r="C34" s="4" t="s">
        <v>78</v>
      </c>
      <c r="D34" s="2" t="s">
        <v>30</v>
      </c>
      <c r="E34" s="2" t="s">
        <v>39</v>
      </c>
      <c r="F34" s="2" t="s">
        <v>25</v>
      </c>
      <c r="G34" s="4" t="s">
        <v>26</v>
      </c>
      <c r="H34" s="2" t="s">
        <v>27</v>
      </c>
      <c r="I34" s="5" t="n">
        <v>5699</v>
      </c>
      <c r="J34" s="2" t="n">
        <v>11</v>
      </c>
      <c r="K34" s="5" t="n">
        <f aca="false">ROUND(I34*J34,2)</f>
        <v>62689</v>
      </c>
    </row>
    <row r="35" customFormat="false" ht="15" hidden="false" customHeight="false" outlineLevel="0" collapsed="false">
      <c r="A35" s="6" t="s">
        <v>103</v>
      </c>
      <c r="B35" s="7" t="n">
        <v>46092</v>
      </c>
      <c r="C35" s="8" t="s">
        <v>48</v>
      </c>
      <c r="D35" s="6" t="s">
        <v>13</v>
      </c>
      <c r="E35" s="6" t="s">
        <v>34</v>
      </c>
      <c r="F35" s="6" t="s">
        <v>85</v>
      </c>
      <c r="G35" s="8" t="s">
        <v>86</v>
      </c>
      <c r="H35" s="6" t="s">
        <v>17</v>
      </c>
      <c r="I35" s="9" t="n">
        <v>385</v>
      </c>
      <c r="J35" s="6" t="n">
        <v>15</v>
      </c>
      <c r="K35" s="9" t="n">
        <f aca="false">ROUND(I35*J35,2)</f>
        <v>5775</v>
      </c>
    </row>
    <row r="36" customFormat="false" ht="15" hidden="false" customHeight="false" outlineLevel="0" collapsed="false">
      <c r="A36" s="2" t="s">
        <v>104</v>
      </c>
      <c r="B36" s="3" t="n">
        <v>46094</v>
      </c>
      <c r="C36" s="4" t="s">
        <v>88</v>
      </c>
      <c r="D36" s="2" t="s">
        <v>19</v>
      </c>
      <c r="E36" s="2" t="s">
        <v>34</v>
      </c>
      <c r="F36" s="2" t="s">
        <v>49</v>
      </c>
      <c r="G36" s="4" t="s">
        <v>50</v>
      </c>
      <c r="H36" s="2" t="s">
        <v>51</v>
      </c>
      <c r="I36" s="5" t="n">
        <v>699</v>
      </c>
      <c r="J36" s="2" t="n">
        <v>9</v>
      </c>
      <c r="K36" s="5" t="n">
        <f aca="false">ROUND(I36*J36,2)</f>
        <v>6291</v>
      </c>
    </row>
    <row r="37" customFormat="false" ht="15" hidden="false" customHeight="false" outlineLevel="0" collapsed="false">
      <c r="A37" s="6" t="s">
        <v>105</v>
      </c>
      <c r="B37" s="7" t="n">
        <v>46094</v>
      </c>
      <c r="C37" s="8" t="s">
        <v>48</v>
      </c>
      <c r="D37" s="6" t="s">
        <v>91</v>
      </c>
      <c r="E37" s="6" t="s">
        <v>34</v>
      </c>
      <c r="F37" s="6" t="s">
        <v>40</v>
      </c>
      <c r="G37" s="8" t="s">
        <v>41</v>
      </c>
      <c r="H37" s="6" t="s">
        <v>22</v>
      </c>
      <c r="I37" s="9" t="n">
        <v>899</v>
      </c>
      <c r="J37" s="6" t="n">
        <v>3</v>
      </c>
      <c r="K37" s="9" t="n">
        <f aca="false">ROUND(I37*J37,2)</f>
        <v>2697</v>
      </c>
    </row>
    <row r="38" customFormat="false" ht="15" hidden="false" customHeight="false" outlineLevel="0" collapsed="false">
      <c r="A38" s="2" t="s">
        <v>106</v>
      </c>
      <c r="B38" s="3" t="n">
        <v>46094</v>
      </c>
      <c r="C38" s="4" t="s">
        <v>12</v>
      </c>
      <c r="D38" s="2" t="s">
        <v>19</v>
      </c>
      <c r="E38" s="2" t="s">
        <v>14</v>
      </c>
      <c r="F38" s="2" t="s">
        <v>98</v>
      </c>
      <c r="G38" s="4" t="s">
        <v>99</v>
      </c>
      <c r="H38" s="2" t="s">
        <v>51</v>
      </c>
      <c r="I38" s="5" t="n">
        <v>899</v>
      </c>
      <c r="J38" s="2" t="n">
        <v>4</v>
      </c>
      <c r="K38" s="5" t="n">
        <f aca="false">ROUND(I38*J38,2)</f>
        <v>3596</v>
      </c>
    </row>
    <row r="39" customFormat="false" ht="15" hidden="false" customHeight="false" outlineLevel="0" collapsed="false">
      <c r="A39" s="6" t="s">
        <v>107</v>
      </c>
      <c r="B39" s="7" t="n">
        <v>46096</v>
      </c>
      <c r="C39" s="8" t="s">
        <v>12</v>
      </c>
      <c r="D39" s="6" t="s">
        <v>30</v>
      </c>
      <c r="E39" s="6" t="s">
        <v>14</v>
      </c>
      <c r="F39" s="6" t="s">
        <v>72</v>
      </c>
      <c r="G39" s="8" t="s">
        <v>73</v>
      </c>
      <c r="H39" s="6" t="s">
        <v>17</v>
      </c>
      <c r="I39" s="9" t="n">
        <v>128</v>
      </c>
      <c r="J39" s="6" t="n">
        <v>91</v>
      </c>
      <c r="K39" s="9" t="n">
        <f aca="false">ROUND(I39*J39,2)</f>
        <v>11648</v>
      </c>
    </row>
    <row r="40" customFormat="false" ht="15" hidden="false" customHeight="false" outlineLevel="0" collapsed="false">
      <c r="A40" s="2" t="s">
        <v>108</v>
      </c>
      <c r="B40" s="3" t="n">
        <v>46096</v>
      </c>
      <c r="C40" s="4" t="s">
        <v>78</v>
      </c>
      <c r="D40" s="2" t="s">
        <v>19</v>
      </c>
      <c r="E40" s="2" t="s">
        <v>39</v>
      </c>
      <c r="F40" s="2" t="s">
        <v>72</v>
      </c>
      <c r="G40" s="4" t="s">
        <v>73</v>
      </c>
      <c r="H40" s="2" t="s">
        <v>17</v>
      </c>
      <c r="I40" s="5" t="n">
        <v>128</v>
      </c>
      <c r="J40" s="2" t="n">
        <v>65</v>
      </c>
      <c r="K40" s="5" t="n">
        <f aca="false">ROUND(I40*J40,2)</f>
        <v>8320</v>
      </c>
    </row>
    <row r="41" customFormat="false" ht="15" hidden="false" customHeight="false" outlineLevel="0" collapsed="false">
      <c r="A41" s="6" t="s">
        <v>109</v>
      </c>
      <c r="B41" s="7" t="n">
        <v>46097</v>
      </c>
      <c r="C41" s="8" t="s">
        <v>33</v>
      </c>
      <c r="D41" s="6" t="s">
        <v>13</v>
      </c>
      <c r="E41" s="6" t="s">
        <v>34</v>
      </c>
      <c r="F41" s="6" t="s">
        <v>62</v>
      </c>
      <c r="G41" s="8" t="s">
        <v>63</v>
      </c>
      <c r="H41" s="6" t="s">
        <v>22</v>
      </c>
      <c r="I41" s="9" t="n">
        <v>2499</v>
      </c>
      <c r="J41" s="6" t="n">
        <v>4</v>
      </c>
      <c r="K41" s="9" t="n">
        <f aca="false">ROUND(I41*J41,2)</f>
        <v>9996</v>
      </c>
    </row>
    <row r="42" customFormat="false" ht="15" hidden="false" customHeight="false" outlineLevel="0" collapsed="false">
      <c r="A42" s="2" t="s">
        <v>110</v>
      </c>
      <c r="B42" s="3" t="n">
        <v>46098</v>
      </c>
      <c r="C42" s="4" t="s">
        <v>84</v>
      </c>
      <c r="D42" s="2" t="s">
        <v>91</v>
      </c>
      <c r="E42" s="2" t="s">
        <v>39</v>
      </c>
      <c r="F42" s="2" t="s">
        <v>69</v>
      </c>
      <c r="G42" s="4" t="s">
        <v>70</v>
      </c>
      <c r="H42" s="2" t="s">
        <v>51</v>
      </c>
      <c r="I42" s="5" t="n">
        <v>599</v>
      </c>
      <c r="J42" s="2" t="n">
        <v>24</v>
      </c>
      <c r="K42" s="5" t="n">
        <f aca="false">ROUND(I42*J42,2)</f>
        <v>14376</v>
      </c>
    </row>
    <row r="43" customFormat="false" ht="15" hidden="false" customHeight="false" outlineLevel="0" collapsed="false">
      <c r="A43" s="6" t="s">
        <v>111</v>
      </c>
      <c r="B43" s="7" t="n">
        <v>46102</v>
      </c>
      <c r="C43" s="8" t="s">
        <v>112</v>
      </c>
      <c r="D43" s="6" t="s">
        <v>61</v>
      </c>
      <c r="E43" s="6" t="s">
        <v>44</v>
      </c>
      <c r="F43" s="6" t="s">
        <v>45</v>
      </c>
      <c r="G43" s="8" t="s">
        <v>46</v>
      </c>
      <c r="H43" s="6" t="s">
        <v>27</v>
      </c>
      <c r="I43" s="9" t="n">
        <v>299</v>
      </c>
      <c r="J43" s="6" t="n">
        <v>7</v>
      </c>
      <c r="K43" s="9" t="n">
        <f aca="false">ROUND(I43*J43,2)</f>
        <v>2093</v>
      </c>
    </row>
    <row r="44" customFormat="false" ht="15" hidden="false" customHeight="false" outlineLevel="0" collapsed="false">
      <c r="A44" s="2" t="s">
        <v>113</v>
      </c>
      <c r="B44" s="3" t="n">
        <v>46103</v>
      </c>
      <c r="C44" s="4" t="s">
        <v>48</v>
      </c>
      <c r="D44" s="2" t="s">
        <v>30</v>
      </c>
      <c r="E44" s="2" t="s">
        <v>34</v>
      </c>
      <c r="F44" s="2" t="s">
        <v>15</v>
      </c>
      <c r="G44" s="4" t="s">
        <v>16</v>
      </c>
      <c r="H44" s="2" t="s">
        <v>17</v>
      </c>
      <c r="I44" s="5" t="n">
        <v>45</v>
      </c>
      <c r="J44" s="2" t="n">
        <v>68</v>
      </c>
      <c r="K44" s="5" t="n">
        <f aca="false">ROUND(I44*J44,2)</f>
        <v>3060</v>
      </c>
    </row>
    <row r="45" customFormat="false" ht="15" hidden="false" customHeight="false" outlineLevel="0" collapsed="false">
      <c r="A45" s="6" t="s">
        <v>114</v>
      </c>
      <c r="B45" s="7" t="n">
        <v>46103</v>
      </c>
      <c r="C45" s="8" t="s">
        <v>43</v>
      </c>
      <c r="D45" s="6" t="s">
        <v>91</v>
      </c>
      <c r="E45" s="6" t="s">
        <v>44</v>
      </c>
      <c r="F45" s="6" t="s">
        <v>35</v>
      </c>
      <c r="G45" s="8" t="s">
        <v>36</v>
      </c>
      <c r="H45" s="6" t="s">
        <v>17</v>
      </c>
      <c r="I45" s="9" t="n">
        <v>89</v>
      </c>
      <c r="J45" s="6" t="n">
        <v>94</v>
      </c>
      <c r="K45" s="9" t="n">
        <f aca="false">ROUND(I45*J45,2)</f>
        <v>8366</v>
      </c>
    </row>
    <row r="46" customFormat="false" ht="15" hidden="false" customHeight="false" outlineLevel="0" collapsed="false">
      <c r="A46" s="2" t="s">
        <v>115</v>
      </c>
      <c r="B46" s="3" t="n">
        <v>46104</v>
      </c>
      <c r="C46" s="4" t="s">
        <v>48</v>
      </c>
      <c r="D46" s="2" t="s">
        <v>19</v>
      </c>
      <c r="E46" s="2" t="s">
        <v>34</v>
      </c>
      <c r="F46" s="2" t="s">
        <v>35</v>
      </c>
      <c r="G46" s="4" t="s">
        <v>36</v>
      </c>
      <c r="H46" s="2" t="s">
        <v>17</v>
      </c>
      <c r="I46" s="5" t="n">
        <v>89</v>
      </c>
      <c r="J46" s="2" t="n">
        <v>46</v>
      </c>
      <c r="K46" s="5" t="n">
        <f aca="false">ROUND(I46*J46,2)</f>
        <v>4094</v>
      </c>
    </row>
    <row r="47" customFormat="false" ht="15" hidden="false" customHeight="false" outlineLevel="0" collapsed="false">
      <c r="A47" s="6" t="s">
        <v>116</v>
      </c>
      <c r="B47" s="7" t="n">
        <v>46105</v>
      </c>
      <c r="C47" s="8" t="s">
        <v>84</v>
      </c>
      <c r="D47" s="6" t="s">
        <v>61</v>
      </c>
      <c r="E47" s="6" t="s">
        <v>39</v>
      </c>
      <c r="F47" s="6" t="s">
        <v>35</v>
      </c>
      <c r="G47" s="8" t="s">
        <v>36</v>
      </c>
      <c r="H47" s="6" t="s">
        <v>17</v>
      </c>
      <c r="I47" s="9" t="n">
        <v>89</v>
      </c>
      <c r="J47" s="6" t="n">
        <v>40</v>
      </c>
      <c r="K47" s="9" t="n">
        <f aca="false">ROUND(I47*J47,2)</f>
        <v>3560</v>
      </c>
    </row>
    <row r="48" customFormat="false" ht="15" hidden="false" customHeight="false" outlineLevel="0" collapsed="false">
      <c r="A48" s="2" t="s">
        <v>117</v>
      </c>
      <c r="B48" s="3" t="n">
        <v>46105</v>
      </c>
      <c r="C48" s="4" t="s">
        <v>88</v>
      </c>
      <c r="D48" s="2" t="s">
        <v>55</v>
      </c>
      <c r="E48" s="2" t="s">
        <v>34</v>
      </c>
      <c r="F48" s="2" t="s">
        <v>40</v>
      </c>
      <c r="G48" s="4" t="s">
        <v>41</v>
      </c>
      <c r="H48" s="2" t="s">
        <v>22</v>
      </c>
      <c r="I48" s="5" t="n">
        <v>899</v>
      </c>
      <c r="J48" s="2" t="n">
        <v>6</v>
      </c>
      <c r="K48" s="5" t="n">
        <f aca="false">ROUND(I48*J48,2)</f>
        <v>5394</v>
      </c>
    </row>
    <row r="49" customFormat="false" ht="15" hidden="false" customHeight="false" outlineLevel="0" collapsed="false">
      <c r="A49" s="6" t="s">
        <v>118</v>
      </c>
      <c r="B49" s="7" t="n">
        <v>46107</v>
      </c>
      <c r="C49" s="8" t="s">
        <v>12</v>
      </c>
      <c r="D49" s="6" t="s">
        <v>91</v>
      </c>
      <c r="E49" s="6" t="s">
        <v>14</v>
      </c>
      <c r="F49" s="6" t="s">
        <v>62</v>
      </c>
      <c r="G49" s="8" t="s">
        <v>63</v>
      </c>
      <c r="H49" s="6" t="s">
        <v>22</v>
      </c>
      <c r="I49" s="9" t="n">
        <v>2499</v>
      </c>
      <c r="J49" s="6" t="n">
        <v>7</v>
      </c>
      <c r="K49" s="9" t="n">
        <f aca="false">ROUND(I49*J49,2)</f>
        <v>17493</v>
      </c>
    </row>
    <row r="50" customFormat="false" ht="15" hidden="false" customHeight="false" outlineLevel="0" collapsed="false">
      <c r="A50" s="2" t="s">
        <v>119</v>
      </c>
      <c r="B50" s="3" t="n">
        <v>46107</v>
      </c>
      <c r="C50" s="4" t="s">
        <v>120</v>
      </c>
      <c r="D50" s="2" t="s">
        <v>55</v>
      </c>
      <c r="E50" s="2" t="s">
        <v>68</v>
      </c>
      <c r="F50" s="2" t="s">
        <v>85</v>
      </c>
      <c r="G50" s="4" t="s">
        <v>86</v>
      </c>
      <c r="H50" s="2" t="s">
        <v>17</v>
      </c>
      <c r="I50" s="5" t="n">
        <v>385</v>
      </c>
      <c r="J50" s="2" t="n">
        <v>43</v>
      </c>
      <c r="K50" s="5" t="n">
        <f aca="false">ROUND(I50*J50,2)</f>
        <v>16555</v>
      </c>
    </row>
    <row r="51" customFormat="false" ht="15" hidden="false" customHeight="false" outlineLevel="0" collapsed="false">
      <c r="A51" s="6" t="s">
        <v>121</v>
      </c>
      <c r="B51" s="7" t="n">
        <v>46110</v>
      </c>
      <c r="C51" s="8" t="s">
        <v>120</v>
      </c>
      <c r="D51" s="6" t="s">
        <v>75</v>
      </c>
      <c r="E51" s="6" t="s">
        <v>68</v>
      </c>
      <c r="F51" s="6" t="s">
        <v>122</v>
      </c>
      <c r="G51" s="8" t="s">
        <v>123</v>
      </c>
      <c r="H51" s="6" t="s">
        <v>27</v>
      </c>
      <c r="I51" s="9" t="n">
        <v>4299</v>
      </c>
      <c r="J51" s="6" t="n">
        <v>1</v>
      </c>
      <c r="K51" s="9" t="n">
        <f aca="false">ROUND(I51*J51,2)</f>
        <v>4299</v>
      </c>
    </row>
    <row r="52" customFormat="false" ht="15" hidden="false" customHeight="false" outlineLevel="0" collapsed="false">
      <c r="A52" s="2" t="s">
        <v>124</v>
      </c>
      <c r="B52" s="3" t="n">
        <v>46110</v>
      </c>
      <c r="C52" s="4" t="s">
        <v>12</v>
      </c>
      <c r="D52" s="2" t="s">
        <v>61</v>
      </c>
      <c r="E52" s="2" t="s">
        <v>14</v>
      </c>
      <c r="F52" s="2" t="s">
        <v>57</v>
      </c>
      <c r="G52" s="4" t="s">
        <v>58</v>
      </c>
      <c r="H52" s="2" t="s">
        <v>27</v>
      </c>
      <c r="I52" s="5" t="n">
        <v>1299</v>
      </c>
      <c r="J52" s="2" t="n">
        <v>4</v>
      </c>
      <c r="K52" s="5" t="n">
        <f aca="false">ROUND(I52*J52,2)</f>
        <v>5196</v>
      </c>
    </row>
    <row r="53" customFormat="false" ht="15" hidden="false" customHeight="false" outlineLevel="0" collapsed="false">
      <c r="A53" s="6" t="s">
        <v>125</v>
      </c>
      <c r="B53" s="7" t="n">
        <v>46111</v>
      </c>
      <c r="C53" s="8" t="s">
        <v>43</v>
      </c>
      <c r="D53" s="6" t="s">
        <v>61</v>
      </c>
      <c r="E53" s="6" t="s">
        <v>44</v>
      </c>
      <c r="F53" s="6" t="s">
        <v>25</v>
      </c>
      <c r="G53" s="8" t="s">
        <v>26</v>
      </c>
      <c r="H53" s="6" t="s">
        <v>27</v>
      </c>
      <c r="I53" s="9" t="n">
        <v>5699</v>
      </c>
      <c r="J53" s="6" t="n">
        <v>5</v>
      </c>
      <c r="K53" s="9" t="n">
        <f aca="false">ROUND(I53*J53,2)</f>
        <v>28495</v>
      </c>
    </row>
    <row r="54" customFormat="false" ht="15" hidden="false" customHeight="false" outlineLevel="0" collapsed="false">
      <c r="A54" s="2" t="s">
        <v>126</v>
      </c>
      <c r="B54" s="3" t="n">
        <v>46112</v>
      </c>
      <c r="C54" s="4" t="s">
        <v>43</v>
      </c>
      <c r="D54" s="2" t="s">
        <v>91</v>
      </c>
      <c r="E54" s="2" t="s">
        <v>44</v>
      </c>
      <c r="F54" s="2" t="s">
        <v>15</v>
      </c>
      <c r="G54" s="4" t="s">
        <v>16</v>
      </c>
      <c r="H54" s="2" t="s">
        <v>17</v>
      </c>
      <c r="I54" s="5" t="n">
        <v>45</v>
      </c>
      <c r="J54" s="2" t="n">
        <v>110</v>
      </c>
      <c r="K54" s="5" t="n">
        <f aca="false">ROUND(I54*J54,2)</f>
        <v>4950</v>
      </c>
    </row>
    <row r="55" customFormat="false" ht="15" hidden="false" customHeight="false" outlineLevel="0" collapsed="false">
      <c r="A55" s="6" t="s">
        <v>127</v>
      </c>
      <c r="B55" s="7" t="n">
        <v>46112</v>
      </c>
      <c r="C55" s="8" t="s">
        <v>80</v>
      </c>
      <c r="D55" s="6" t="s">
        <v>75</v>
      </c>
      <c r="E55" s="6" t="s">
        <v>34</v>
      </c>
      <c r="F55" s="6" t="s">
        <v>122</v>
      </c>
      <c r="G55" s="8" t="s">
        <v>123</v>
      </c>
      <c r="H55" s="6" t="s">
        <v>27</v>
      </c>
      <c r="I55" s="9" t="n">
        <v>4299</v>
      </c>
      <c r="J55" s="6" t="n">
        <v>6</v>
      </c>
      <c r="K55" s="9" t="n">
        <f aca="false">ROUND(I55*J55,2)</f>
        <v>25794</v>
      </c>
    </row>
    <row r="56" customFormat="false" ht="15" hidden="false" customHeight="false" outlineLevel="0" collapsed="false">
      <c r="A56" s="2" t="s">
        <v>128</v>
      </c>
      <c r="B56" s="3" t="n">
        <v>46114</v>
      </c>
      <c r="C56" s="4" t="s">
        <v>54</v>
      </c>
      <c r="D56" s="2" t="s">
        <v>19</v>
      </c>
      <c r="E56" s="2" t="s">
        <v>14</v>
      </c>
      <c r="F56" s="2" t="s">
        <v>25</v>
      </c>
      <c r="G56" s="4" t="s">
        <v>26</v>
      </c>
      <c r="H56" s="2" t="s">
        <v>27</v>
      </c>
      <c r="I56" s="5" t="n">
        <v>5699</v>
      </c>
      <c r="J56" s="2" t="n">
        <v>4</v>
      </c>
      <c r="K56" s="5" t="n">
        <f aca="false">ROUND(I56*J56,2)</f>
        <v>22796</v>
      </c>
    </row>
    <row r="57" customFormat="false" ht="15" hidden="false" customHeight="false" outlineLevel="0" collapsed="false">
      <c r="A57" s="6" t="s">
        <v>129</v>
      </c>
      <c r="B57" s="7" t="n">
        <v>46117</v>
      </c>
      <c r="C57" s="8" t="s">
        <v>84</v>
      </c>
      <c r="D57" s="6" t="s">
        <v>24</v>
      </c>
      <c r="E57" s="6" t="s">
        <v>39</v>
      </c>
      <c r="F57" s="6" t="s">
        <v>92</v>
      </c>
      <c r="G57" s="8" t="s">
        <v>93</v>
      </c>
      <c r="H57" s="6" t="s">
        <v>22</v>
      </c>
      <c r="I57" s="9" t="n">
        <v>1299</v>
      </c>
      <c r="J57" s="6" t="n">
        <v>4</v>
      </c>
      <c r="K57" s="9" t="n">
        <f aca="false">ROUND(I57*J57,2)</f>
        <v>5196</v>
      </c>
    </row>
    <row r="58" customFormat="false" ht="15" hidden="false" customHeight="false" outlineLevel="0" collapsed="false">
      <c r="A58" s="2" t="s">
        <v>130</v>
      </c>
      <c r="B58" s="3" t="n">
        <v>46117</v>
      </c>
      <c r="C58" s="4" t="s">
        <v>88</v>
      </c>
      <c r="D58" s="2" t="s">
        <v>30</v>
      </c>
      <c r="E58" s="2" t="s">
        <v>34</v>
      </c>
      <c r="F58" s="2" t="s">
        <v>15</v>
      </c>
      <c r="G58" s="4" t="s">
        <v>16</v>
      </c>
      <c r="H58" s="2" t="s">
        <v>17</v>
      </c>
      <c r="I58" s="5" t="n">
        <v>45</v>
      </c>
      <c r="J58" s="2" t="n">
        <v>64</v>
      </c>
      <c r="K58" s="5" t="n">
        <f aca="false">ROUND(I58*J58,2)</f>
        <v>2880</v>
      </c>
    </row>
    <row r="59" customFormat="false" ht="15" hidden="false" customHeight="false" outlineLevel="0" collapsed="false">
      <c r="A59" s="6" t="s">
        <v>131</v>
      </c>
      <c r="B59" s="7" t="n">
        <v>46117</v>
      </c>
      <c r="C59" s="8" t="s">
        <v>29</v>
      </c>
      <c r="D59" s="6" t="s">
        <v>75</v>
      </c>
      <c r="E59" s="6" t="s">
        <v>31</v>
      </c>
      <c r="F59" s="6" t="s">
        <v>72</v>
      </c>
      <c r="G59" s="8" t="s">
        <v>73</v>
      </c>
      <c r="H59" s="6" t="s">
        <v>17</v>
      </c>
      <c r="I59" s="9" t="n">
        <v>128</v>
      </c>
      <c r="J59" s="6" t="n">
        <v>48</v>
      </c>
      <c r="K59" s="9" t="n">
        <f aca="false">ROUND(I59*J59,2)</f>
        <v>6144</v>
      </c>
    </row>
    <row r="60" customFormat="false" ht="15" hidden="false" customHeight="false" outlineLevel="0" collapsed="false">
      <c r="A60" s="2" t="s">
        <v>132</v>
      </c>
      <c r="B60" s="3" t="n">
        <v>46121</v>
      </c>
      <c r="C60" s="4" t="s">
        <v>84</v>
      </c>
      <c r="D60" s="2" t="s">
        <v>61</v>
      </c>
      <c r="E60" s="2" t="s">
        <v>39</v>
      </c>
      <c r="F60" s="2" t="s">
        <v>49</v>
      </c>
      <c r="G60" s="4" t="s">
        <v>50</v>
      </c>
      <c r="H60" s="2" t="s">
        <v>51</v>
      </c>
      <c r="I60" s="5" t="n">
        <v>699</v>
      </c>
      <c r="J60" s="2" t="n">
        <v>20</v>
      </c>
      <c r="K60" s="5" t="n">
        <f aca="false">ROUND(I60*J60,2)</f>
        <v>13980</v>
      </c>
    </row>
    <row r="61" customFormat="false" ht="15" hidden="false" customHeight="false" outlineLevel="0" collapsed="false">
      <c r="A61" s="6" t="s">
        <v>133</v>
      </c>
      <c r="B61" s="7" t="n">
        <v>46124</v>
      </c>
      <c r="C61" s="8" t="s">
        <v>48</v>
      </c>
      <c r="D61" s="6" t="s">
        <v>24</v>
      </c>
      <c r="E61" s="6" t="s">
        <v>34</v>
      </c>
      <c r="F61" s="6" t="s">
        <v>20</v>
      </c>
      <c r="G61" s="8" t="s">
        <v>21</v>
      </c>
      <c r="H61" s="6" t="s">
        <v>22</v>
      </c>
      <c r="I61" s="9" t="n">
        <v>3599</v>
      </c>
      <c r="J61" s="6" t="n">
        <v>1</v>
      </c>
      <c r="K61" s="9" t="n">
        <f aca="false">ROUND(I61*J61,2)</f>
        <v>3599</v>
      </c>
    </row>
    <row r="62" customFormat="false" ht="15" hidden="false" customHeight="false" outlineLevel="0" collapsed="false">
      <c r="A62" s="2" t="s">
        <v>134</v>
      </c>
      <c r="B62" s="3" t="n">
        <v>46124</v>
      </c>
      <c r="C62" s="4" t="s">
        <v>12</v>
      </c>
      <c r="D62" s="2" t="s">
        <v>61</v>
      </c>
      <c r="E62" s="2" t="s">
        <v>14</v>
      </c>
      <c r="F62" s="2" t="s">
        <v>15</v>
      </c>
      <c r="G62" s="4" t="s">
        <v>16</v>
      </c>
      <c r="H62" s="2" t="s">
        <v>17</v>
      </c>
      <c r="I62" s="5" t="n">
        <v>45</v>
      </c>
      <c r="J62" s="2" t="n">
        <v>96</v>
      </c>
      <c r="K62" s="5" t="n">
        <f aca="false">ROUND(I62*J62,2)</f>
        <v>4320</v>
      </c>
    </row>
    <row r="63" customFormat="false" ht="15" hidden="false" customHeight="false" outlineLevel="0" collapsed="false">
      <c r="A63" s="6" t="s">
        <v>135</v>
      </c>
      <c r="B63" s="7" t="n">
        <v>46126</v>
      </c>
      <c r="C63" s="8" t="s">
        <v>43</v>
      </c>
      <c r="D63" s="6" t="s">
        <v>91</v>
      </c>
      <c r="E63" s="6" t="s">
        <v>44</v>
      </c>
      <c r="F63" s="6" t="s">
        <v>35</v>
      </c>
      <c r="G63" s="8" t="s">
        <v>36</v>
      </c>
      <c r="H63" s="6" t="s">
        <v>17</v>
      </c>
      <c r="I63" s="9" t="n">
        <v>89</v>
      </c>
      <c r="J63" s="6" t="n">
        <v>108</v>
      </c>
      <c r="K63" s="9" t="n">
        <f aca="false">ROUND(I63*J63,2)</f>
        <v>9612</v>
      </c>
    </row>
    <row r="64" customFormat="false" ht="15" hidden="false" customHeight="false" outlineLevel="0" collapsed="false">
      <c r="A64" s="2" t="s">
        <v>136</v>
      </c>
      <c r="B64" s="3" t="n">
        <v>46128</v>
      </c>
      <c r="C64" s="4" t="s">
        <v>54</v>
      </c>
      <c r="D64" s="2" t="s">
        <v>19</v>
      </c>
      <c r="E64" s="2" t="s">
        <v>14</v>
      </c>
      <c r="F64" s="2" t="s">
        <v>15</v>
      </c>
      <c r="G64" s="4" t="s">
        <v>16</v>
      </c>
      <c r="H64" s="2" t="s">
        <v>17</v>
      </c>
      <c r="I64" s="5" t="n">
        <v>45</v>
      </c>
      <c r="J64" s="2" t="n">
        <v>92</v>
      </c>
      <c r="K64" s="5" t="n">
        <f aca="false">ROUND(I64*J64,2)</f>
        <v>4140</v>
      </c>
    </row>
    <row r="65" customFormat="false" ht="15" hidden="false" customHeight="false" outlineLevel="0" collapsed="false">
      <c r="A65" s="6" t="s">
        <v>137</v>
      </c>
      <c r="B65" s="7" t="n">
        <v>46131</v>
      </c>
      <c r="C65" s="8" t="s">
        <v>12</v>
      </c>
      <c r="D65" s="6" t="s">
        <v>13</v>
      </c>
      <c r="E65" s="6" t="s">
        <v>14</v>
      </c>
      <c r="F65" s="6" t="s">
        <v>72</v>
      </c>
      <c r="G65" s="8" t="s">
        <v>73</v>
      </c>
      <c r="H65" s="6" t="s">
        <v>17</v>
      </c>
      <c r="I65" s="9" t="n">
        <v>128</v>
      </c>
      <c r="J65" s="6" t="n">
        <v>34</v>
      </c>
      <c r="K65" s="9" t="n">
        <f aca="false">ROUND(I65*J65,2)</f>
        <v>4352</v>
      </c>
    </row>
    <row r="66" customFormat="false" ht="15" hidden="false" customHeight="false" outlineLevel="0" collapsed="false">
      <c r="A66" s="2" t="s">
        <v>138</v>
      </c>
      <c r="B66" s="3" t="n">
        <v>46134</v>
      </c>
      <c r="C66" s="4" t="s">
        <v>54</v>
      </c>
      <c r="D66" s="2" t="s">
        <v>61</v>
      </c>
      <c r="E66" s="2" t="s">
        <v>14</v>
      </c>
      <c r="F66" s="2" t="s">
        <v>98</v>
      </c>
      <c r="G66" s="4" t="s">
        <v>99</v>
      </c>
      <c r="H66" s="2" t="s">
        <v>51</v>
      </c>
      <c r="I66" s="5" t="n">
        <v>899</v>
      </c>
      <c r="J66" s="2" t="n">
        <v>18</v>
      </c>
      <c r="K66" s="5" t="n">
        <f aca="false">ROUND(I66*J66,2)</f>
        <v>16182</v>
      </c>
    </row>
    <row r="67" customFormat="false" ht="15" hidden="false" customHeight="false" outlineLevel="0" collapsed="false">
      <c r="A67" s="6" t="s">
        <v>139</v>
      </c>
      <c r="B67" s="7" t="n">
        <v>46135</v>
      </c>
      <c r="C67" s="8" t="s">
        <v>78</v>
      </c>
      <c r="D67" s="6" t="s">
        <v>19</v>
      </c>
      <c r="E67" s="6" t="s">
        <v>39</v>
      </c>
      <c r="F67" s="6" t="s">
        <v>20</v>
      </c>
      <c r="G67" s="8" t="s">
        <v>21</v>
      </c>
      <c r="H67" s="6" t="s">
        <v>22</v>
      </c>
      <c r="I67" s="9" t="n">
        <v>3599</v>
      </c>
      <c r="J67" s="6" t="n">
        <v>1</v>
      </c>
      <c r="K67" s="9" t="n">
        <f aca="false">ROUND(I67*J67,2)</f>
        <v>3599</v>
      </c>
    </row>
    <row r="68" customFormat="false" ht="15" hidden="false" customHeight="false" outlineLevel="0" collapsed="false">
      <c r="A68" s="2" t="s">
        <v>140</v>
      </c>
      <c r="B68" s="3" t="n">
        <v>46135</v>
      </c>
      <c r="C68" s="4" t="s">
        <v>54</v>
      </c>
      <c r="D68" s="2" t="s">
        <v>55</v>
      </c>
      <c r="E68" s="2" t="s">
        <v>14</v>
      </c>
      <c r="F68" s="2" t="s">
        <v>49</v>
      </c>
      <c r="G68" s="4" t="s">
        <v>50</v>
      </c>
      <c r="H68" s="2" t="s">
        <v>51</v>
      </c>
      <c r="I68" s="5" t="n">
        <v>699</v>
      </c>
      <c r="J68" s="2" t="n">
        <v>15</v>
      </c>
      <c r="K68" s="5" t="n">
        <f aca="false">ROUND(I68*J68,2)</f>
        <v>10485</v>
      </c>
    </row>
    <row r="69" customFormat="false" ht="15" hidden="false" customHeight="false" outlineLevel="0" collapsed="false">
      <c r="A69" s="6" t="s">
        <v>141</v>
      </c>
      <c r="B69" s="7" t="n">
        <v>46136</v>
      </c>
      <c r="C69" s="8" t="s">
        <v>80</v>
      </c>
      <c r="D69" s="6" t="s">
        <v>61</v>
      </c>
      <c r="E69" s="6" t="s">
        <v>34</v>
      </c>
      <c r="F69" s="6" t="s">
        <v>85</v>
      </c>
      <c r="G69" s="8" t="s">
        <v>86</v>
      </c>
      <c r="H69" s="6" t="s">
        <v>17</v>
      </c>
      <c r="I69" s="9" t="n">
        <v>385</v>
      </c>
      <c r="J69" s="6" t="n">
        <v>81</v>
      </c>
      <c r="K69" s="9" t="n">
        <f aca="false">ROUND(I69*J69,2)</f>
        <v>31185</v>
      </c>
    </row>
    <row r="70" customFormat="false" ht="15" hidden="false" customHeight="false" outlineLevel="0" collapsed="false">
      <c r="A70" s="2" t="s">
        <v>142</v>
      </c>
      <c r="B70" s="3" t="n">
        <v>46139</v>
      </c>
      <c r="C70" s="4" t="s">
        <v>67</v>
      </c>
      <c r="D70" s="2" t="s">
        <v>24</v>
      </c>
      <c r="E70" s="2" t="s">
        <v>68</v>
      </c>
      <c r="F70" s="2" t="s">
        <v>122</v>
      </c>
      <c r="G70" s="4" t="s">
        <v>123</v>
      </c>
      <c r="H70" s="2" t="s">
        <v>27</v>
      </c>
      <c r="I70" s="5" t="n">
        <v>4299</v>
      </c>
      <c r="J70" s="2" t="n">
        <v>2</v>
      </c>
      <c r="K70" s="5" t="n">
        <f aca="false">ROUND(I70*J70,2)</f>
        <v>8598</v>
      </c>
    </row>
    <row r="71" customFormat="false" ht="15" hidden="false" customHeight="false" outlineLevel="0" collapsed="false">
      <c r="A71" s="6" t="s">
        <v>143</v>
      </c>
      <c r="B71" s="7" t="n">
        <v>46142</v>
      </c>
      <c r="C71" s="8" t="s">
        <v>48</v>
      </c>
      <c r="D71" s="6" t="s">
        <v>19</v>
      </c>
      <c r="E71" s="6" t="s">
        <v>34</v>
      </c>
      <c r="F71" s="6" t="s">
        <v>49</v>
      </c>
      <c r="G71" s="8" t="s">
        <v>50</v>
      </c>
      <c r="H71" s="6" t="s">
        <v>51</v>
      </c>
      <c r="I71" s="9" t="n">
        <v>699</v>
      </c>
      <c r="J71" s="6" t="n">
        <v>9</v>
      </c>
      <c r="K71" s="9" t="n">
        <f aca="false">ROUND(I71*J71,2)</f>
        <v>6291</v>
      </c>
    </row>
    <row r="72" customFormat="false" ht="15" hidden="false" customHeight="false" outlineLevel="0" collapsed="false">
      <c r="A72" s="2" t="s">
        <v>144</v>
      </c>
      <c r="B72" s="3" t="n">
        <v>46143</v>
      </c>
      <c r="C72" s="4" t="s">
        <v>84</v>
      </c>
      <c r="D72" s="2" t="s">
        <v>75</v>
      </c>
      <c r="E72" s="2" t="s">
        <v>39</v>
      </c>
      <c r="F72" s="2" t="s">
        <v>72</v>
      </c>
      <c r="G72" s="4" t="s">
        <v>73</v>
      </c>
      <c r="H72" s="2" t="s">
        <v>17</v>
      </c>
      <c r="I72" s="5" t="n">
        <v>128</v>
      </c>
      <c r="J72" s="2" t="n">
        <v>91</v>
      </c>
      <c r="K72" s="5" t="n">
        <f aca="false">ROUND(I72*J72,2)</f>
        <v>11648</v>
      </c>
    </row>
    <row r="73" customFormat="false" ht="15" hidden="false" customHeight="false" outlineLevel="0" collapsed="false">
      <c r="A73" s="6" t="s">
        <v>145</v>
      </c>
      <c r="B73" s="7" t="n">
        <v>46144</v>
      </c>
      <c r="C73" s="8" t="s">
        <v>12</v>
      </c>
      <c r="D73" s="6" t="s">
        <v>19</v>
      </c>
      <c r="E73" s="6" t="s">
        <v>14</v>
      </c>
      <c r="F73" s="6" t="s">
        <v>35</v>
      </c>
      <c r="G73" s="8" t="s">
        <v>36</v>
      </c>
      <c r="H73" s="6" t="s">
        <v>17</v>
      </c>
      <c r="I73" s="9" t="n">
        <v>89</v>
      </c>
      <c r="J73" s="6" t="n">
        <v>54</v>
      </c>
      <c r="K73" s="9" t="n">
        <f aca="false">ROUND(I73*J73,2)</f>
        <v>4806</v>
      </c>
    </row>
    <row r="74" customFormat="false" ht="15" hidden="false" customHeight="false" outlineLevel="0" collapsed="false">
      <c r="A74" s="2" t="s">
        <v>146</v>
      </c>
      <c r="B74" s="3" t="n">
        <v>46145</v>
      </c>
      <c r="C74" s="4" t="s">
        <v>88</v>
      </c>
      <c r="D74" s="2" t="s">
        <v>75</v>
      </c>
      <c r="E74" s="2" t="s">
        <v>34</v>
      </c>
      <c r="F74" s="2" t="s">
        <v>25</v>
      </c>
      <c r="G74" s="4" t="s">
        <v>26</v>
      </c>
      <c r="H74" s="2" t="s">
        <v>27</v>
      </c>
      <c r="I74" s="5" t="n">
        <v>5699</v>
      </c>
      <c r="J74" s="2" t="n">
        <v>4</v>
      </c>
      <c r="K74" s="5" t="n">
        <f aca="false">ROUND(I74*J74,2)</f>
        <v>22796</v>
      </c>
    </row>
    <row r="75" customFormat="false" ht="15" hidden="false" customHeight="false" outlineLevel="0" collapsed="false">
      <c r="A75" s="6" t="s">
        <v>147</v>
      </c>
      <c r="B75" s="7" t="n">
        <v>46146</v>
      </c>
      <c r="C75" s="8" t="s">
        <v>48</v>
      </c>
      <c r="D75" s="6" t="s">
        <v>75</v>
      </c>
      <c r="E75" s="6" t="s">
        <v>34</v>
      </c>
      <c r="F75" s="6" t="s">
        <v>45</v>
      </c>
      <c r="G75" s="8" t="s">
        <v>46</v>
      </c>
      <c r="H75" s="6" t="s">
        <v>27</v>
      </c>
      <c r="I75" s="9" t="n">
        <v>299</v>
      </c>
      <c r="J75" s="6" t="n">
        <v>7</v>
      </c>
      <c r="K75" s="9" t="n">
        <f aca="false">ROUND(I75*J75,2)</f>
        <v>2093</v>
      </c>
    </row>
    <row r="76" customFormat="false" ht="15" hidden="false" customHeight="false" outlineLevel="0" collapsed="false">
      <c r="A76" s="2" t="s">
        <v>148</v>
      </c>
      <c r="B76" s="3" t="n">
        <v>46148</v>
      </c>
      <c r="C76" s="4" t="s">
        <v>80</v>
      </c>
      <c r="D76" s="2" t="s">
        <v>13</v>
      </c>
      <c r="E76" s="2" t="s">
        <v>34</v>
      </c>
      <c r="F76" s="2" t="s">
        <v>40</v>
      </c>
      <c r="G76" s="4" t="s">
        <v>41</v>
      </c>
      <c r="H76" s="2" t="s">
        <v>22</v>
      </c>
      <c r="I76" s="5" t="n">
        <v>899</v>
      </c>
      <c r="J76" s="2" t="n">
        <v>3</v>
      </c>
      <c r="K76" s="5" t="n">
        <f aca="false">ROUND(I76*J76,2)</f>
        <v>2697</v>
      </c>
    </row>
    <row r="77" customFormat="false" ht="15" hidden="false" customHeight="false" outlineLevel="0" collapsed="false">
      <c r="A77" s="6" t="s">
        <v>149</v>
      </c>
      <c r="B77" s="7" t="n">
        <v>46153</v>
      </c>
      <c r="C77" s="8" t="s">
        <v>12</v>
      </c>
      <c r="D77" s="6" t="s">
        <v>24</v>
      </c>
      <c r="E77" s="6" t="s">
        <v>14</v>
      </c>
      <c r="F77" s="6" t="s">
        <v>15</v>
      </c>
      <c r="G77" s="8" t="s">
        <v>16</v>
      </c>
      <c r="H77" s="6" t="s">
        <v>17</v>
      </c>
      <c r="I77" s="9" t="n">
        <v>45</v>
      </c>
      <c r="J77" s="6" t="n">
        <v>61</v>
      </c>
      <c r="K77" s="9" t="n">
        <f aca="false">ROUND(I77*J77,2)</f>
        <v>2745</v>
      </c>
    </row>
    <row r="78" customFormat="false" ht="15" hidden="false" customHeight="false" outlineLevel="0" collapsed="false">
      <c r="A78" s="2" t="s">
        <v>150</v>
      </c>
      <c r="B78" s="3" t="n">
        <v>46156</v>
      </c>
      <c r="C78" s="4" t="s">
        <v>43</v>
      </c>
      <c r="D78" s="2" t="s">
        <v>30</v>
      </c>
      <c r="E78" s="2" t="s">
        <v>44</v>
      </c>
      <c r="F78" s="2" t="s">
        <v>122</v>
      </c>
      <c r="G78" s="4" t="s">
        <v>123</v>
      </c>
      <c r="H78" s="2" t="s">
        <v>27</v>
      </c>
      <c r="I78" s="5" t="n">
        <v>4299</v>
      </c>
      <c r="J78" s="2" t="n">
        <v>10</v>
      </c>
      <c r="K78" s="5" t="n">
        <f aca="false">ROUND(I78*J78,2)</f>
        <v>42990</v>
      </c>
    </row>
    <row r="79" customFormat="false" ht="15" hidden="false" customHeight="false" outlineLevel="0" collapsed="false">
      <c r="A79" s="6" t="s">
        <v>151</v>
      </c>
      <c r="B79" s="7" t="n">
        <v>46156</v>
      </c>
      <c r="C79" s="8" t="s">
        <v>65</v>
      </c>
      <c r="D79" s="6" t="s">
        <v>24</v>
      </c>
      <c r="E79" s="6" t="s">
        <v>34</v>
      </c>
      <c r="F79" s="6" t="s">
        <v>35</v>
      </c>
      <c r="G79" s="8" t="s">
        <v>36</v>
      </c>
      <c r="H79" s="6" t="s">
        <v>17</v>
      </c>
      <c r="I79" s="9" t="n">
        <v>89</v>
      </c>
      <c r="J79" s="6" t="n">
        <v>23</v>
      </c>
      <c r="K79" s="9" t="n">
        <f aca="false">ROUND(I79*J79,2)</f>
        <v>2047</v>
      </c>
    </row>
    <row r="80" customFormat="false" ht="15" hidden="false" customHeight="false" outlineLevel="0" collapsed="false">
      <c r="A80" s="2" t="s">
        <v>152</v>
      </c>
      <c r="B80" s="3" t="n">
        <v>46156</v>
      </c>
      <c r="C80" s="4" t="s">
        <v>120</v>
      </c>
      <c r="D80" s="2" t="s">
        <v>91</v>
      </c>
      <c r="E80" s="2" t="s">
        <v>68</v>
      </c>
      <c r="F80" s="2" t="s">
        <v>35</v>
      </c>
      <c r="G80" s="4" t="s">
        <v>36</v>
      </c>
      <c r="H80" s="2" t="s">
        <v>17</v>
      </c>
      <c r="I80" s="5" t="n">
        <v>89</v>
      </c>
      <c r="J80" s="2" t="n">
        <v>72</v>
      </c>
      <c r="K80" s="5" t="n">
        <f aca="false">ROUND(I80*J80,2)</f>
        <v>6408</v>
      </c>
    </row>
    <row r="81" customFormat="false" ht="15" hidden="false" customHeight="false" outlineLevel="0" collapsed="false">
      <c r="A81" s="6" t="s">
        <v>153</v>
      </c>
      <c r="B81" s="7" t="n">
        <v>46156</v>
      </c>
      <c r="C81" s="8" t="s">
        <v>33</v>
      </c>
      <c r="D81" s="6" t="s">
        <v>61</v>
      </c>
      <c r="E81" s="6" t="s">
        <v>34</v>
      </c>
      <c r="F81" s="6" t="s">
        <v>15</v>
      </c>
      <c r="G81" s="8" t="s">
        <v>16</v>
      </c>
      <c r="H81" s="6" t="s">
        <v>17</v>
      </c>
      <c r="I81" s="9" t="n">
        <v>45</v>
      </c>
      <c r="J81" s="6" t="n">
        <v>64</v>
      </c>
      <c r="K81" s="9" t="n">
        <f aca="false">ROUND(I81*J81,2)</f>
        <v>2880</v>
      </c>
    </row>
    <row r="82" customFormat="false" ht="15" hidden="false" customHeight="false" outlineLevel="0" collapsed="false">
      <c r="A82" s="2" t="s">
        <v>154</v>
      </c>
      <c r="B82" s="3" t="n">
        <v>46157</v>
      </c>
      <c r="C82" s="4" t="s">
        <v>54</v>
      </c>
      <c r="D82" s="2" t="s">
        <v>24</v>
      </c>
      <c r="E82" s="2" t="s">
        <v>14</v>
      </c>
      <c r="F82" s="2" t="s">
        <v>85</v>
      </c>
      <c r="G82" s="4" t="s">
        <v>86</v>
      </c>
      <c r="H82" s="2" t="s">
        <v>17</v>
      </c>
      <c r="I82" s="5" t="n">
        <v>385</v>
      </c>
      <c r="J82" s="2" t="n">
        <v>24</v>
      </c>
      <c r="K82" s="5" t="n">
        <f aca="false">ROUND(I82*J82,2)</f>
        <v>9240</v>
      </c>
    </row>
    <row r="83" customFormat="false" ht="15" hidden="false" customHeight="false" outlineLevel="0" collapsed="false">
      <c r="A83" s="6" t="s">
        <v>155</v>
      </c>
      <c r="B83" s="7" t="n">
        <v>46158</v>
      </c>
      <c r="C83" s="8" t="s">
        <v>12</v>
      </c>
      <c r="D83" s="6" t="s">
        <v>61</v>
      </c>
      <c r="E83" s="6" t="s">
        <v>14</v>
      </c>
      <c r="F83" s="6" t="s">
        <v>20</v>
      </c>
      <c r="G83" s="8" t="s">
        <v>21</v>
      </c>
      <c r="H83" s="6" t="s">
        <v>22</v>
      </c>
      <c r="I83" s="9" t="n">
        <v>3599</v>
      </c>
      <c r="J83" s="6" t="n">
        <v>6</v>
      </c>
      <c r="K83" s="9" t="n">
        <f aca="false">ROUND(I83*J83,2)</f>
        <v>21594</v>
      </c>
    </row>
    <row r="84" customFormat="false" ht="15" hidden="false" customHeight="false" outlineLevel="0" collapsed="false">
      <c r="A84" s="2" t="s">
        <v>156</v>
      </c>
      <c r="B84" s="3" t="n">
        <v>46162</v>
      </c>
      <c r="C84" s="4" t="s">
        <v>29</v>
      </c>
      <c r="D84" s="2" t="s">
        <v>61</v>
      </c>
      <c r="E84" s="2" t="s">
        <v>31</v>
      </c>
      <c r="F84" s="2" t="s">
        <v>35</v>
      </c>
      <c r="G84" s="4" t="s">
        <v>36</v>
      </c>
      <c r="H84" s="2" t="s">
        <v>17</v>
      </c>
      <c r="I84" s="5" t="n">
        <v>89</v>
      </c>
      <c r="J84" s="2" t="n">
        <v>10</v>
      </c>
      <c r="K84" s="5" t="n">
        <f aca="false">ROUND(I84*J84,2)</f>
        <v>890</v>
      </c>
    </row>
    <row r="85" customFormat="false" ht="15" hidden="false" customHeight="false" outlineLevel="0" collapsed="false">
      <c r="A85" s="6" t="s">
        <v>157</v>
      </c>
      <c r="B85" s="7" t="n">
        <v>46162</v>
      </c>
      <c r="C85" s="8" t="s">
        <v>67</v>
      </c>
      <c r="D85" s="6" t="s">
        <v>61</v>
      </c>
      <c r="E85" s="6" t="s">
        <v>68</v>
      </c>
      <c r="F85" s="6" t="s">
        <v>98</v>
      </c>
      <c r="G85" s="8" t="s">
        <v>99</v>
      </c>
      <c r="H85" s="6" t="s">
        <v>51</v>
      </c>
      <c r="I85" s="9" t="n">
        <v>899</v>
      </c>
      <c r="J85" s="6" t="n">
        <v>12</v>
      </c>
      <c r="K85" s="9" t="n">
        <f aca="false">ROUND(I85*J85,2)</f>
        <v>10788</v>
      </c>
    </row>
    <row r="86" customFormat="false" ht="15" hidden="false" customHeight="false" outlineLevel="0" collapsed="false">
      <c r="A86" s="2" t="s">
        <v>158</v>
      </c>
      <c r="B86" s="3" t="n">
        <v>46163</v>
      </c>
      <c r="C86" s="4" t="s">
        <v>88</v>
      </c>
      <c r="D86" s="2" t="s">
        <v>13</v>
      </c>
      <c r="E86" s="2" t="s">
        <v>34</v>
      </c>
      <c r="F86" s="2" t="s">
        <v>15</v>
      </c>
      <c r="G86" s="4" t="s">
        <v>16</v>
      </c>
      <c r="H86" s="2" t="s">
        <v>17</v>
      </c>
      <c r="I86" s="5" t="n">
        <v>45</v>
      </c>
      <c r="J86" s="2" t="n">
        <v>103</v>
      </c>
      <c r="K86" s="5" t="n">
        <f aca="false">ROUND(I86*J86,2)</f>
        <v>4635</v>
      </c>
    </row>
    <row r="87" customFormat="false" ht="15" hidden="false" customHeight="false" outlineLevel="0" collapsed="false">
      <c r="A87" s="6" t="s">
        <v>159</v>
      </c>
      <c r="B87" s="7" t="n">
        <v>46163</v>
      </c>
      <c r="C87" s="8" t="s">
        <v>78</v>
      </c>
      <c r="D87" s="6" t="s">
        <v>30</v>
      </c>
      <c r="E87" s="6" t="s">
        <v>39</v>
      </c>
      <c r="F87" s="6" t="s">
        <v>69</v>
      </c>
      <c r="G87" s="8" t="s">
        <v>70</v>
      </c>
      <c r="H87" s="6" t="s">
        <v>51</v>
      </c>
      <c r="I87" s="9" t="n">
        <v>599</v>
      </c>
      <c r="J87" s="6" t="n">
        <v>3</v>
      </c>
      <c r="K87" s="9" t="n">
        <f aca="false">ROUND(I87*J87,2)</f>
        <v>1797</v>
      </c>
    </row>
    <row r="88" customFormat="false" ht="15" hidden="false" customHeight="false" outlineLevel="0" collapsed="false">
      <c r="A88" s="2" t="s">
        <v>160</v>
      </c>
      <c r="B88" s="3" t="n">
        <v>46164</v>
      </c>
      <c r="C88" s="4" t="s">
        <v>112</v>
      </c>
      <c r="D88" s="2" t="s">
        <v>75</v>
      </c>
      <c r="E88" s="2" t="s">
        <v>44</v>
      </c>
      <c r="F88" s="2" t="s">
        <v>15</v>
      </c>
      <c r="G88" s="4" t="s">
        <v>16</v>
      </c>
      <c r="H88" s="2" t="s">
        <v>17</v>
      </c>
      <c r="I88" s="5" t="n">
        <v>45</v>
      </c>
      <c r="J88" s="2" t="n">
        <v>25</v>
      </c>
      <c r="K88" s="5" t="n">
        <f aca="false">ROUND(I88*J88,2)</f>
        <v>1125</v>
      </c>
    </row>
    <row r="89" customFormat="false" ht="15" hidden="false" customHeight="false" outlineLevel="0" collapsed="false">
      <c r="A89" s="6" t="s">
        <v>161</v>
      </c>
      <c r="B89" s="7" t="n">
        <v>46164</v>
      </c>
      <c r="C89" s="8" t="s">
        <v>120</v>
      </c>
      <c r="D89" s="6" t="s">
        <v>24</v>
      </c>
      <c r="E89" s="6" t="s">
        <v>68</v>
      </c>
      <c r="F89" s="6" t="s">
        <v>40</v>
      </c>
      <c r="G89" s="8" t="s">
        <v>41</v>
      </c>
      <c r="H89" s="6" t="s">
        <v>22</v>
      </c>
      <c r="I89" s="9" t="n">
        <v>899</v>
      </c>
      <c r="J89" s="6" t="n">
        <v>5</v>
      </c>
      <c r="K89" s="9" t="n">
        <f aca="false">ROUND(I89*J89,2)</f>
        <v>4495</v>
      </c>
    </row>
    <row r="90" customFormat="false" ht="15" hidden="false" customHeight="false" outlineLevel="0" collapsed="false">
      <c r="A90" s="2" t="s">
        <v>162</v>
      </c>
      <c r="B90" s="3" t="n">
        <v>46164</v>
      </c>
      <c r="C90" s="4" t="s">
        <v>88</v>
      </c>
      <c r="D90" s="2" t="s">
        <v>91</v>
      </c>
      <c r="E90" s="2" t="s">
        <v>34</v>
      </c>
      <c r="F90" s="2" t="s">
        <v>25</v>
      </c>
      <c r="G90" s="4" t="s">
        <v>26</v>
      </c>
      <c r="H90" s="2" t="s">
        <v>27</v>
      </c>
      <c r="I90" s="5" t="n">
        <v>5699</v>
      </c>
      <c r="J90" s="2" t="n">
        <v>8</v>
      </c>
      <c r="K90" s="5" t="n">
        <f aca="false">ROUND(I90*J90,2)</f>
        <v>45592</v>
      </c>
    </row>
    <row r="91" customFormat="false" ht="15" hidden="false" customHeight="false" outlineLevel="0" collapsed="false">
      <c r="A91" s="6" t="s">
        <v>163</v>
      </c>
      <c r="B91" s="7" t="n">
        <v>46168</v>
      </c>
      <c r="C91" s="8" t="s">
        <v>65</v>
      </c>
      <c r="D91" s="6" t="s">
        <v>24</v>
      </c>
      <c r="E91" s="6" t="s">
        <v>34</v>
      </c>
      <c r="F91" s="6" t="s">
        <v>72</v>
      </c>
      <c r="G91" s="8" t="s">
        <v>73</v>
      </c>
      <c r="H91" s="6" t="s">
        <v>17</v>
      </c>
      <c r="I91" s="9" t="n">
        <v>128</v>
      </c>
      <c r="J91" s="6" t="n">
        <v>47</v>
      </c>
      <c r="K91" s="9" t="n">
        <f aca="false">ROUND(I91*J91,2)</f>
        <v>6016</v>
      </c>
    </row>
    <row r="92" customFormat="false" ht="15" hidden="false" customHeight="false" outlineLevel="0" collapsed="false">
      <c r="A92" s="2" t="s">
        <v>164</v>
      </c>
      <c r="B92" s="3" t="n">
        <v>46168</v>
      </c>
      <c r="C92" s="4" t="s">
        <v>48</v>
      </c>
      <c r="D92" s="2" t="s">
        <v>75</v>
      </c>
      <c r="E92" s="2" t="s">
        <v>34</v>
      </c>
      <c r="F92" s="2" t="s">
        <v>15</v>
      </c>
      <c r="G92" s="4" t="s">
        <v>16</v>
      </c>
      <c r="H92" s="2" t="s">
        <v>17</v>
      </c>
      <c r="I92" s="5" t="n">
        <v>45</v>
      </c>
      <c r="J92" s="2" t="n">
        <v>26</v>
      </c>
      <c r="K92" s="5" t="n">
        <f aca="false">ROUND(I92*J92,2)</f>
        <v>1170</v>
      </c>
    </row>
    <row r="93" customFormat="false" ht="15" hidden="false" customHeight="false" outlineLevel="0" collapsed="false">
      <c r="A93" s="6" t="s">
        <v>165</v>
      </c>
      <c r="B93" s="7" t="n">
        <v>46172</v>
      </c>
      <c r="C93" s="8" t="s">
        <v>54</v>
      </c>
      <c r="D93" s="6" t="s">
        <v>19</v>
      </c>
      <c r="E93" s="6" t="s">
        <v>14</v>
      </c>
      <c r="F93" s="6" t="s">
        <v>25</v>
      </c>
      <c r="G93" s="8" t="s">
        <v>26</v>
      </c>
      <c r="H93" s="6" t="s">
        <v>27</v>
      </c>
      <c r="I93" s="9" t="n">
        <v>5699</v>
      </c>
      <c r="J93" s="6" t="n">
        <v>12</v>
      </c>
      <c r="K93" s="9" t="n">
        <f aca="false">ROUND(I93*J93,2)</f>
        <v>68388</v>
      </c>
    </row>
    <row r="94" customFormat="false" ht="15" hidden="false" customHeight="false" outlineLevel="0" collapsed="false">
      <c r="A94" s="2" t="s">
        <v>166</v>
      </c>
      <c r="B94" s="3" t="n">
        <v>46172</v>
      </c>
      <c r="C94" s="4" t="s">
        <v>48</v>
      </c>
      <c r="D94" s="2" t="s">
        <v>61</v>
      </c>
      <c r="E94" s="2" t="s">
        <v>34</v>
      </c>
      <c r="F94" s="2" t="s">
        <v>98</v>
      </c>
      <c r="G94" s="4" t="s">
        <v>99</v>
      </c>
      <c r="H94" s="2" t="s">
        <v>51</v>
      </c>
      <c r="I94" s="5" t="n">
        <v>899</v>
      </c>
      <c r="J94" s="2" t="n">
        <v>17</v>
      </c>
      <c r="K94" s="5" t="n">
        <f aca="false">ROUND(I94*J94,2)</f>
        <v>15283</v>
      </c>
    </row>
    <row r="95" customFormat="false" ht="15" hidden="false" customHeight="false" outlineLevel="0" collapsed="false">
      <c r="A95" s="6" t="s">
        <v>167</v>
      </c>
      <c r="B95" s="7" t="n">
        <v>46172</v>
      </c>
      <c r="C95" s="8" t="s">
        <v>80</v>
      </c>
      <c r="D95" s="6" t="s">
        <v>19</v>
      </c>
      <c r="E95" s="6" t="s">
        <v>34</v>
      </c>
      <c r="F95" s="6" t="s">
        <v>92</v>
      </c>
      <c r="G95" s="8" t="s">
        <v>93</v>
      </c>
      <c r="H95" s="6" t="s">
        <v>22</v>
      </c>
      <c r="I95" s="9" t="n">
        <v>1299</v>
      </c>
      <c r="J95" s="6" t="n">
        <v>5</v>
      </c>
      <c r="K95" s="9" t="n">
        <f aca="false">ROUND(I95*J95,2)</f>
        <v>6495</v>
      </c>
    </row>
    <row r="96" customFormat="false" ht="15" hidden="false" customHeight="false" outlineLevel="0" collapsed="false">
      <c r="A96" s="2" t="s">
        <v>168</v>
      </c>
      <c r="B96" s="3" t="n">
        <v>46175</v>
      </c>
      <c r="C96" s="4" t="s">
        <v>54</v>
      </c>
      <c r="D96" s="2" t="s">
        <v>91</v>
      </c>
      <c r="E96" s="2" t="s">
        <v>14</v>
      </c>
      <c r="F96" s="2" t="s">
        <v>69</v>
      </c>
      <c r="G96" s="4" t="s">
        <v>70</v>
      </c>
      <c r="H96" s="2" t="s">
        <v>51</v>
      </c>
      <c r="I96" s="5" t="n">
        <v>599</v>
      </c>
      <c r="J96" s="2" t="n">
        <v>36</v>
      </c>
      <c r="K96" s="5" t="n">
        <f aca="false">ROUND(I96*J96,2)</f>
        <v>21564</v>
      </c>
    </row>
    <row r="97" customFormat="false" ht="15" hidden="false" customHeight="false" outlineLevel="0" collapsed="false">
      <c r="A97" s="6" t="s">
        <v>169</v>
      </c>
      <c r="B97" s="7" t="n">
        <v>46176</v>
      </c>
      <c r="C97" s="8" t="s">
        <v>29</v>
      </c>
      <c r="D97" s="6" t="s">
        <v>19</v>
      </c>
      <c r="E97" s="6" t="s">
        <v>31</v>
      </c>
      <c r="F97" s="6" t="s">
        <v>57</v>
      </c>
      <c r="G97" s="8" t="s">
        <v>58</v>
      </c>
      <c r="H97" s="6" t="s">
        <v>27</v>
      </c>
      <c r="I97" s="9" t="n">
        <v>1299</v>
      </c>
      <c r="J97" s="6" t="n">
        <v>7</v>
      </c>
      <c r="K97" s="9" t="n">
        <f aca="false">ROUND(I97*J97,2)</f>
        <v>9093</v>
      </c>
    </row>
    <row r="98" customFormat="false" ht="15" hidden="false" customHeight="false" outlineLevel="0" collapsed="false">
      <c r="A98" s="2" t="s">
        <v>170</v>
      </c>
      <c r="B98" s="3" t="n">
        <v>46176</v>
      </c>
      <c r="C98" s="4" t="s">
        <v>29</v>
      </c>
      <c r="D98" s="2" t="s">
        <v>19</v>
      </c>
      <c r="E98" s="2" t="s">
        <v>31</v>
      </c>
      <c r="F98" s="2" t="s">
        <v>35</v>
      </c>
      <c r="G98" s="4" t="s">
        <v>36</v>
      </c>
      <c r="H98" s="2" t="s">
        <v>17</v>
      </c>
      <c r="I98" s="5" t="n">
        <v>89</v>
      </c>
      <c r="J98" s="2" t="n">
        <v>80</v>
      </c>
      <c r="K98" s="5" t="n">
        <f aca="false">ROUND(I98*J98,2)</f>
        <v>7120</v>
      </c>
    </row>
    <row r="99" customFormat="false" ht="15" hidden="false" customHeight="false" outlineLevel="0" collapsed="false">
      <c r="A99" s="6" t="s">
        <v>171</v>
      </c>
      <c r="B99" s="7" t="n">
        <v>46177</v>
      </c>
      <c r="C99" s="8" t="s">
        <v>29</v>
      </c>
      <c r="D99" s="6" t="s">
        <v>61</v>
      </c>
      <c r="E99" s="6" t="s">
        <v>31</v>
      </c>
      <c r="F99" s="6" t="s">
        <v>122</v>
      </c>
      <c r="G99" s="8" t="s">
        <v>123</v>
      </c>
      <c r="H99" s="6" t="s">
        <v>27</v>
      </c>
      <c r="I99" s="9" t="n">
        <v>4299</v>
      </c>
      <c r="J99" s="6" t="n">
        <v>5</v>
      </c>
      <c r="K99" s="9" t="n">
        <f aca="false">ROUND(I99*J99,2)</f>
        <v>21495</v>
      </c>
    </row>
    <row r="100" customFormat="false" ht="15" hidden="false" customHeight="false" outlineLevel="0" collapsed="false">
      <c r="A100" s="2" t="s">
        <v>172</v>
      </c>
      <c r="B100" s="3" t="n">
        <v>46179</v>
      </c>
      <c r="C100" s="4" t="s">
        <v>33</v>
      </c>
      <c r="D100" s="2" t="s">
        <v>75</v>
      </c>
      <c r="E100" s="2" t="s">
        <v>34</v>
      </c>
      <c r="F100" s="2" t="s">
        <v>72</v>
      </c>
      <c r="G100" s="4" t="s">
        <v>73</v>
      </c>
      <c r="H100" s="2" t="s">
        <v>17</v>
      </c>
      <c r="I100" s="5" t="n">
        <v>128</v>
      </c>
      <c r="J100" s="2" t="n">
        <v>69</v>
      </c>
      <c r="K100" s="5" t="n">
        <f aca="false">ROUND(I100*J100,2)</f>
        <v>8832</v>
      </c>
    </row>
    <row r="101" customFormat="false" ht="15" hidden="false" customHeight="false" outlineLevel="0" collapsed="false">
      <c r="A101" s="6" t="s">
        <v>173</v>
      </c>
      <c r="B101" s="7" t="n">
        <v>46181</v>
      </c>
      <c r="C101" s="8" t="s">
        <v>88</v>
      </c>
      <c r="D101" s="6" t="s">
        <v>75</v>
      </c>
      <c r="E101" s="6" t="s">
        <v>34</v>
      </c>
      <c r="F101" s="6" t="s">
        <v>35</v>
      </c>
      <c r="G101" s="8" t="s">
        <v>36</v>
      </c>
      <c r="H101" s="6" t="s">
        <v>17</v>
      </c>
      <c r="I101" s="9" t="n">
        <v>89</v>
      </c>
      <c r="J101" s="6" t="n">
        <v>43</v>
      </c>
      <c r="K101" s="9" t="n">
        <f aca="false">ROUND(I101*J101,2)</f>
        <v>3827</v>
      </c>
    </row>
    <row r="102" customFormat="false" ht="15" hidden="false" customHeight="false" outlineLevel="0" collapsed="false">
      <c r="A102" s="2" t="s">
        <v>174</v>
      </c>
      <c r="B102" s="3" t="n">
        <v>46182</v>
      </c>
      <c r="C102" s="4" t="s">
        <v>12</v>
      </c>
      <c r="D102" s="2" t="s">
        <v>75</v>
      </c>
      <c r="E102" s="2" t="s">
        <v>14</v>
      </c>
      <c r="F102" s="2" t="s">
        <v>35</v>
      </c>
      <c r="G102" s="4" t="s">
        <v>36</v>
      </c>
      <c r="H102" s="2" t="s">
        <v>17</v>
      </c>
      <c r="I102" s="5" t="n">
        <v>89</v>
      </c>
      <c r="J102" s="2" t="n">
        <v>93</v>
      </c>
      <c r="K102" s="5" t="n">
        <f aca="false">ROUND(I102*J102,2)</f>
        <v>8277</v>
      </c>
    </row>
    <row r="103" customFormat="false" ht="15" hidden="false" customHeight="false" outlineLevel="0" collapsed="false">
      <c r="A103" s="6" t="s">
        <v>175</v>
      </c>
      <c r="B103" s="7" t="n">
        <v>46188</v>
      </c>
      <c r="C103" s="8" t="s">
        <v>88</v>
      </c>
      <c r="D103" s="6" t="s">
        <v>24</v>
      </c>
      <c r="E103" s="6" t="s">
        <v>34</v>
      </c>
      <c r="F103" s="6" t="s">
        <v>72</v>
      </c>
      <c r="G103" s="8" t="s">
        <v>73</v>
      </c>
      <c r="H103" s="6" t="s">
        <v>17</v>
      </c>
      <c r="I103" s="9" t="n">
        <v>128</v>
      </c>
      <c r="J103" s="6" t="n">
        <v>83</v>
      </c>
      <c r="K103" s="9" t="n">
        <f aca="false">ROUND(I103*J103,2)</f>
        <v>10624</v>
      </c>
    </row>
    <row r="104" customFormat="false" ht="15" hidden="false" customHeight="false" outlineLevel="0" collapsed="false">
      <c r="A104" s="2" t="s">
        <v>176</v>
      </c>
      <c r="B104" s="3" t="n">
        <v>46190</v>
      </c>
      <c r="C104" s="4" t="s">
        <v>84</v>
      </c>
      <c r="D104" s="2" t="s">
        <v>30</v>
      </c>
      <c r="E104" s="2" t="s">
        <v>39</v>
      </c>
      <c r="F104" s="2" t="s">
        <v>57</v>
      </c>
      <c r="G104" s="4" t="s">
        <v>58</v>
      </c>
      <c r="H104" s="2" t="s">
        <v>27</v>
      </c>
      <c r="I104" s="5" t="n">
        <v>1299</v>
      </c>
      <c r="J104" s="2" t="n">
        <v>9</v>
      </c>
      <c r="K104" s="5" t="n">
        <f aca="false">ROUND(I104*J104,2)</f>
        <v>11691</v>
      </c>
    </row>
    <row r="105" customFormat="false" ht="15" hidden="false" customHeight="false" outlineLevel="0" collapsed="false">
      <c r="A105" s="6" t="s">
        <v>177</v>
      </c>
      <c r="B105" s="7" t="n">
        <v>46193</v>
      </c>
      <c r="C105" s="8" t="s">
        <v>43</v>
      </c>
      <c r="D105" s="6" t="s">
        <v>24</v>
      </c>
      <c r="E105" s="6" t="s">
        <v>44</v>
      </c>
      <c r="F105" s="6" t="s">
        <v>25</v>
      </c>
      <c r="G105" s="8" t="s">
        <v>26</v>
      </c>
      <c r="H105" s="6" t="s">
        <v>27</v>
      </c>
      <c r="I105" s="9" t="n">
        <v>5699</v>
      </c>
      <c r="J105" s="6" t="n">
        <v>12</v>
      </c>
      <c r="K105" s="9" t="n">
        <f aca="false">ROUND(I105*J105,2)</f>
        <v>68388</v>
      </c>
    </row>
    <row r="106" customFormat="false" ht="15" hidden="false" customHeight="false" outlineLevel="0" collapsed="false">
      <c r="A106" s="2" t="s">
        <v>178</v>
      </c>
      <c r="B106" s="3" t="n">
        <v>46194</v>
      </c>
      <c r="C106" s="4" t="s">
        <v>33</v>
      </c>
      <c r="D106" s="2" t="s">
        <v>19</v>
      </c>
      <c r="E106" s="2" t="s">
        <v>34</v>
      </c>
      <c r="F106" s="2" t="s">
        <v>69</v>
      </c>
      <c r="G106" s="4" t="s">
        <v>70</v>
      </c>
      <c r="H106" s="2" t="s">
        <v>51</v>
      </c>
      <c r="I106" s="5" t="n">
        <v>599</v>
      </c>
      <c r="J106" s="2" t="n">
        <v>35</v>
      </c>
      <c r="K106" s="5" t="n">
        <f aca="false">ROUND(I106*J106,2)</f>
        <v>20965</v>
      </c>
    </row>
    <row r="107" customFormat="false" ht="15" hidden="false" customHeight="false" outlineLevel="0" collapsed="false">
      <c r="A107" s="6" t="s">
        <v>179</v>
      </c>
      <c r="B107" s="7" t="n">
        <v>46196</v>
      </c>
      <c r="C107" s="8" t="s">
        <v>78</v>
      </c>
      <c r="D107" s="6" t="s">
        <v>30</v>
      </c>
      <c r="E107" s="6" t="s">
        <v>39</v>
      </c>
      <c r="F107" s="6" t="s">
        <v>85</v>
      </c>
      <c r="G107" s="8" t="s">
        <v>86</v>
      </c>
      <c r="H107" s="6" t="s">
        <v>17</v>
      </c>
      <c r="I107" s="9" t="n">
        <v>385</v>
      </c>
      <c r="J107" s="6" t="n">
        <v>13</v>
      </c>
      <c r="K107" s="9" t="n">
        <f aca="false">ROUND(I107*J107,2)</f>
        <v>5005</v>
      </c>
    </row>
    <row r="108" customFormat="false" ht="15" hidden="false" customHeight="false" outlineLevel="0" collapsed="false">
      <c r="A108" s="2" t="s">
        <v>180</v>
      </c>
      <c r="B108" s="3" t="n">
        <v>46197</v>
      </c>
      <c r="C108" s="4" t="s">
        <v>48</v>
      </c>
      <c r="D108" s="2" t="s">
        <v>55</v>
      </c>
      <c r="E108" s="2" t="s">
        <v>34</v>
      </c>
      <c r="F108" s="2" t="s">
        <v>20</v>
      </c>
      <c r="G108" s="4" t="s">
        <v>21</v>
      </c>
      <c r="H108" s="2" t="s">
        <v>22</v>
      </c>
      <c r="I108" s="5" t="n">
        <v>3599</v>
      </c>
      <c r="J108" s="2" t="n">
        <v>6</v>
      </c>
      <c r="K108" s="5" t="n">
        <f aca="false">ROUND(I108*J108,2)</f>
        <v>21594</v>
      </c>
    </row>
    <row r="109" customFormat="false" ht="15" hidden="false" customHeight="false" outlineLevel="0" collapsed="false">
      <c r="A109" s="6" t="s">
        <v>181</v>
      </c>
      <c r="B109" s="7" t="n">
        <v>46197</v>
      </c>
      <c r="C109" s="8" t="s">
        <v>78</v>
      </c>
      <c r="D109" s="6" t="s">
        <v>24</v>
      </c>
      <c r="E109" s="6" t="s">
        <v>39</v>
      </c>
      <c r="F109" s="6" t="s">
        <v>72</v>
      </c>
      <c r="G109" s="8" t="s">
        <v>73</v>
      </c>
      <c r="H109" s="6" t="s">
        <v>17</v>
      </c>
      <c r="I109" s="9" t="n">
        <v>128</v>
      </c>
      <c r="J109" s="6" t="n">
        <v>62</v>
      </c>
      <c r="K109" s="9" t="n">
        <f aca="false">ROUND(I109*J109,2)</f>
        <v>7936</v>
      </c>
    </row>
    <row r="110" customFormat="false" ht="15" hidden="false" customHeight="false" outlineLevel="0" collapsed="false">
      <c r="A110" s="2" t="s">
        <v>182</v>
      </c>
      <c r="B110" s="3" t="n">
        <v>46197</v>
      </c>
      <c r="C110" s="4" t="s">
        <v>67</v>
      </c>
      <c r="D110" s="2" t="s">
        <v>24</v>
      </c>
      <c r="E110" s="2" t="s">
        <v>68</v>
      </c>
      <c r="F110" s="2" t="s">
        <v>35</v>
      </c>
      <c r="G110" s="4" t="s">
        <v>36</v>
      </c>
      <c r="H110" s="2" t="s">
        <v>17</v>
      </c>
      <c r="I110" s="5" t="n">
        <v>89</v>
      </c>
      <c r="J110" s="2" t="n">
        <v>77</v>
      </c>
      <c r="K110" s="5" t="n">
        <f aca="false">ROUND(I110*J110,2)</f>
        <v>6853</v>
      </c>
    </row>
    <row r="111" customFormat="false" ht="15" hidden="false" customHeight="false" outlineLevel="0" collapsed="false">
      <c r="A111" s="6" t="s">
        <v>183</v>
      </c>
      <c r="B111" s="7" t="n">
        <v>46198</v>
      </c>
      <c r="C111" s="8" t="s">
        <v>80</v>
      </c>
      <c r="D111" s="6" t="s">
        <v>61</v>
      </c>
      <c r="E111" s="6" t="s">
        <v>34</v>
      </c>
      <c r="F111" s="6" t="s">
        <v>72</v>
      </c>
      <c r="G111" s="8" t="s">
        <v>73</v>
      </c>
      <c r="H111" s="6" t="s">
        <v>17</v>
      </c>
      <c r="I111" s="9" t="n">
        <v>128</v>
      </c>
      <c r="J111" s="6" t="n">
        <v>93</v>
      </c>
      <c r="K111" s="9" t="n">
        <f aca="false">ROUND(I111*J111,2)</f>
        <v>11904</v>
      </c>
    </row>
    <row r="112" customFormat="false" ht="15" hidden="false" customHeight="false" outlineLevel="0" collapsed="false">
      <c r="A112" s="2" t="s">
        <v>184</v>
      </c>
      <c r="B112" s="3" t="n">
        <v>46198</v>
      </c>
      <c r="C112" s="4" t="s">
        <v>88</v>
      </c>
      <c r="D112" s="2" t="s">
        <v>75</v>
      </c>
      <c r="E112" s="2" t="s">
        <v>34</v>
      </c>
      <c r="F112" s="2" t="s">
        <v>122</v>
      </c>
      <c r="G112" s="4" t="s">
        <v>123</v>
      </c>
      <c r="H112" s="2" t="s">
        <v>27</v>
      </c>
      <c r="I112" s="5" t="n">
        <v>4299</v>
      </c>
      <c r="J112" s="2" t="n">
        <v>8</v>
      </c>
      <c r="K112" s="5" t="n">
        <f aca="false">ROUND(I112*J112,2)</f>
        <v>34392</v>
      </c>
    </row>
    <row r="113" customFormat="false" ht="15" hidden="false" customHeight="false" outlineLevel="0" collapsed="false">
      <c r="A113" s="6" t="s">
        <v>185</v>
      </c>
      <c r="B113" s="7" t="n">
        <v>46198</v>
      </c>
      <c r="C113" s="8" t="s">
        <v>67</v>
      </c>
      <c r="D113" s="6" t="s">
        <v>75</v>
      </c>
      <c r="E113" s="6" t="s">
        <v>68</v>
      </c>
      <c r="F113" s="6" t="s">
        <v>72</v>
      </c>
      <c r="G113" s="8" t="s">
        <v>73</v>
      </c>
      <c r="H113" s="6" t="s">
        <v>17</v>
      </c>
      <c r="I113" s="9" t="n">
        <v>128</v>
      </c>
      <c r="J113" s="6" t="n">
        <v>96</v>
      </c>
      <c r="K113" s="9" t="n">
        <f aca="false">ROUND(I113*J113,2)</f>
        <v>12288</v>
      </c>
    </row>
    <row r="114" customFormat="false" ht="15" hidden="false" customHeight="false" outlineLevel="0" collapsed="false">
      <c r="A114" s="2" t="s">
        <v>186</v>
      </c>
      <c r="B114" s="3" t="n">
        <v>46199</v>
      </c>
      <c r="C114" s="4" t="s">
        <v>54</v>
      </c>
      <c r="D114" s="2" t="s">
        <v>30</v>
      </c>
      <c r="E114" s="2" t="s">
        <v>14</v>
      </c>
      <c r="F114" s="2" t="s">
        <v>72</v>
      </c>
      <c r="G114" s="4" t="s">
        <v>73</v>
      </c>
      <c r="H114" s="2" t="s">
        <v>17</v>
      </c>
      <c r="I114" s="5" t="n">
        <v>128</v>
      </c>
      <c r="J114" s="2" t="n">
        <v>37</v>
      </c>
      <c r="K114" s="5" t="n">
        <f aca="false">ROUND(I114*J114,2)</f>
        <v>4736</v>
      </c>
    </row>
    <row r="115" customFormat="false" ht="15" hidden="false" customHeight="false" outlineLevel="0" collapsed="false">
      <c r="A115" s="6" t="s">
        <v>187</v>
      </c>
      <c r="B115" s="7" t="n">
        <v>46200</v>
      </c>
      <c r="C115" s="8" t="s">
        <v>12</v>
      </c>
      <c r="D115" s="6" t="s">
        <v>24</v>
      </c>
      <c r="E115" s="6" t="s">
        <v>14</v>
      </c>
      <c r="F115" s="6" t="s">
        <v>15</v>
      </c>
      <c r="G115" s="8" t="s">
        <v>16</v>
      </c>
      <c r="H115" s="6" t="s">
        <v>17</v>
      </c>
      <c r="I115" s="9" t="n">
        <v>45</v>
      </c>
      <c r="J115" s="6" t="n">
        <v>104</v>
      </c>
      <c r="K115" s="9" t="n">
        <f aca="false">ROUND(I115*J115,2)</f>
        <v>4680</v>
      </c>
    </row>
    <row r="116" customFormat="false" ht="15" hidden="false" customHeight="false" outlineLevel="0" collapsed="false">
      <c r="A116" s="2" t="s">
        <v>188</v>
      </c>
      <c r="B116" s="3" t="n">
        <v>46201</v>
      </c>
      <c r="C116" s="4" t="s">
        <v>120</v>
      </c>
      <c r="D116" s="2" t="s">
        <v>75</v>
      </c>
      <c r="E116" s="2" t="s">
        <v>68</v>
      </c>
      <c r="F116" s="2" t="s">
        <v>15</v>
      </c>
      <c r="G116" s="4" t="s">
        <v>16</v>
      </c>
      <c r="H116" s="2" t="s">
        <v>17</v>
      </c>
      <c r="I116" s="5" t="n">
        <v>45</v>
      </c>
      <c r="J116" s="2" t="n">
        <v>92</v>
      </c>
      <c r="K116" s="5" t="n">
        <f aca="false">ROUND(I116*J116,2)</f>
        <v>4140</v>
      </c>
    </row>
    <row r="117" customFormat="false" ht="15" hidden="false" customHeight="false" outlineLevel="0" collapsed="false">
      <c r="A117" s="6" t="s">
        <v>189</v>
      </c>
      <c r="B117" s="7" t="n">
        <v>46201</v>
      </c>
      <c r="C117" s="8" t="s">
        <v>88</v>
      </c>
      <c r="D117" s="6" t="s">
        <v>24</v>
      </c>
      <c r="E117" s="6" t="s">
        <v>34</v>
      </c>
      <c r="F117" s="6" t="s">
        <v>92</v>
      </c>
      <c r="G117" s="8" t="s">
        <v>93</v>
      </c>
      <c r="H117" s="6" t="s">
        <v>22</v>
      </c>
      <c r="I117" s="9" t="n">
        <v>1299</v>
      </c>
      <c r="J117" s="6" t="n">
        <v>7</v>
      </c>
      <c r="K117" s="9" t="n">
        <f aca="false">ROUND(I117*J117,2)</f>
        <v>9093</v>
      </c>
    </row>
    <row r="118" customFormat="false" ht="15" hidden="false" customHeight="false" outlineLevel="0" collapsed="false">
      <c r="A118" s="2" t="s">
        <v>190</v>
      </c>
      <c r="B118" s="3" t="n">
        <v>46203</v>
      </c>
      <c r="C118" s="4" t="s">
        <v>78</v>
      </c>
      <c r="D118" s="2" t="s">
        <v>19</v>
      </c>
      <c r="E118" s="2" t="s">
        <v>39</v>
      </c>
      <c r="F118" s="2" t="s">
        <v>35</v>
      </c>
      <c r="G118" s="4" t="s">
        <v>36</v>
      </c>
      <c r="H118" s="2" t="s">
        <v>17</v>
      </c>
      <c r="I118" s="5" t="n">
        <v>89</v>
      </c>
      <c r="J118" s="2" t="n">
        <v>35</v>
      </c>
      <c r="K118" s="5" t="n">
        <f aca="false">ROUND(I118*J118,2)</f>
        <v>3115</v>
      </c>
    </row>
    <row r="119" customFormat="false" ht="15" hidden="false" customHeight="false" outlineLevel="0" collapsed="false">
      <c r="A119" s="6" t="s">
        <v>191</v>
      </c>
      <c r="B119" s="7" t="n">
        <v>46203</v>
      </c>
      <c r="C119" s="8" t="s">
        <v>43</v>
      </c>
      <c r="D119" s="6" t="s">
        <v>55</v>
      </c>
      <c r="E119" s="6" t="s">
        <v>44</v>
      </c>
      <c r="F119" s="6" t="s">
        <v>20</v>
      </c>
      <c r="G119" s="8" t="s">
        <v>21</v>
      </c>
      <c r="H119" s="6" t="s">
        <v>22</v>
      </c>
      <c r="I119" s="9" t="n">
        <v>3599</v>
      </c>
      <c r="J119" s="6" t="n">
        <v>3</v>
      </c>
      <c r="K119" s="9" t="n">
        <f aca="false">ROUND(I119*J119,2)</f>
        <v>10797</v>
      </c>
    </row>
    <row r="120" customFormat="false" ht="15" hidden="false" customHeight="false" outlineLevel="0" collapsed="false">
      <c r="A120" s="2" t="s">
        <v>192</v>
      </c>
      <c r="B120" s="3" t="n">
        <v>46205</v>
      </c>
      <c r="C120" s="4" t="s">
        <v>12</v>
      </c>
      <c r="D120" s="2" t="s">
        <v>75</v>
      </c>
      <c r="E120" s="2" t="s">
        <v>14</v>
      </c>
      <c r="F120" s="2" t="s">
        <v>35</v>
      </c>
      <c r="G120" s="4" t="s">
        <v>36</v>
      </c>
      <c r="H120" s="2" t="s">
        <v>17</v>
      </c>
      <c r="I120" s="5" t="n">
        <v>89</v>
      </c>
      <c r="J120" s="2" t="n">
        <v>76</v>
      </c>
      <c r="K120" s="5" t="n">
        <f aca="false">ROUND(I120*J120,2)</f>
        <v>6764</v>
      </c>
    </row>
    <row r="121" customFormat="false" ht="15" hidden="false" customHeight="false" outlineLevel="0" collapsed="false">
      <c r="A121" s="6" t="s">
        <v>193</v>
      </c>
      <c r="B121" s="7" t="n">
        <v>46207</v>
      </c>
      <c r="C121" s="8" t="s">
        <v>88</v>
      </c>
      <c r="D121" s="6" t="s">
        <v>13</v>
      </c>
      <c r="E121" s="6" t="s">
        <v>34</v>
      </c>
      <c r="F121" s="6" t="s">
        <v>35</v>
      </c>
      <c r="G121" s="8" t="s">
        <v>36</v>
      </c>
      <c r="H121" s="6" t="s">
        <v>17</v>
      </c>
      <c r="I121" s="9" t="n">
        <v>89</v>
      </c>
      <c r="J121" s="6" t="n">
        <v>48</v>
      </c>
      <c r="K121" s="9" t="n">
        <f aca="false">ROUND(I121*J121,2)</f>
        <v>4272</v>
      </c>
    </row>
    <row r="122" customFormat="false" ht="15" hidden="false" customHeight="false" outlineLevel="0" collapsed="false">
      <c r="A122" s="2" t="s">
        <v>194</v>
      </c>
      <c r="B122" s="3" t="n">
        <v>46208</v>
      </c>
      <c r="C122" s="4" t="s">
        <v>33</v>
      </c>
      <c r="D122" s="2" t="s">
        <v>55</v>
      </c>
      <c r="E122" s="2" t="s">
        <v>34</v>
      </c>
      <c r="F122" s="2" t="s">
        <v>62</v>
      </c>
      <c r="G122" s="4" t="s">
        <v>63</v>
      </c>
      <c r="H122" s="2" t="s">
        <v>22</v>
      </c>
      <c r="I122" s="5" t="n">
        <v>2499</v>
      </c>
      <c r="J122" s="2" t="n">
        <v>1</v>
      </c>
      <c r="K122" s="5" t="n">
        <f aca="false">ROUND(I122*J122,2)</f>
        <v>2499</v>
      </c>
    </row>
    <row r="123" customFormat="false" ht="15" hidden="false" customHeight="false" outlineLevel="0" collapsed="false">
      <c r="A123" s="6" t="s">
        <v>195</v>
      </c>
      <c r="B123" s="7" t="n">
        <v>46211</v>
      </c>
      <c r="C123" s="8" t="s">
        <v>88</v>
      </c>
      <c r="D123" s="6" t="s">
        <v>75</v>
      </c>
      <c r="E123" s="6" t="s">
        <v>34</v>
      </c>
      <c r="F123" s="6" t="s">
        <v>62</v>
      </c>
      <c r="G123" s="8" t="s">
        <v>63</v>
      </c>
      <c r="H123" s="6" t="s">
        <v>22</v>
      </c>
      <c r="I123" s="9" t="n">
        <v>2499</v>
      </c>
      <c r="J123" s="6" t="n">
        <v>5</v>
      </c>
      <c r="K123" s="9" t="n">
        <f aca="false">ROUND(I123*J123,2)</f>
        <v>12495</v>
      </c>
    </row>
    <row r="124" customFormat="false" ht="15" hidden="false" customHeight="false" outlineLevel="0" collapsed="false">
      <c r="A124" s="2" t="s">
        <v>196</v>
      </c>
      <c r="B124" s="3" t="n">
        <v>46213</v>
      </c>
      <c r="C124" s="4" t="s">
        <v>88</v>
      </c>
      <c r="D124" s="2" t="s">
        <v>13</v>
      </c>
      <c r="E124" s="2" t="s">
        <v>34</v>
      </c>
      <c r="F124" s="2" t="s">
        <v>72</v>
      </c>
      <c r="G124" s="4" t="s">
        <v>73</v>
      </c>
      <c r="H124" s="2" t="s">
        <v>17</v>
      </c>
      <c r="I124" s="5" t="n">
        <v>128</v>
      </c>
      <c r="J124" s="2" t="n">
        <v>110</v>
      </c>
      <c r="K124" s="5" t="n">
        <f aca="false">ROUND(I124*J124,2)</f>
        <v>14080</v>
      </c>
    </row>
    <row r="125" customFormat="false" ht="15" hidden="false" customHeight="false" outlineLevel="0" collapsed="false">
      <c r="A125" s="6" t="s">
        <v>197</v>
      </c>
      <c r="B125" s="7" t="n">
        <v>46214</v>
      </c>
      <c r="C125" s="8" t="s">
        <v>54</v>
      </c>
      <c r="D125" s="6" t="s">
        <v>13</v>
      </c>
      <c r="E125" s="6" t="s">
        <v>14</v>
      </c>
      <c r="F125" s="6" t="s">
        <v>15</v>
      </c>
      <c r="G125" s="8" t="s">
        <v>16</v>
      </c>
      <c r="H125" s="6" t="s">
        <v>17</v>
      </c>
      <c r="I125" s="9" t="n">
        <v>45</v>
      </c>
      <c r="J125" s="6" t="n">
        <v>110</v>
      </c>
      <c r="K125" s="9" t="n">
        <f aca="false">ROUND(I125*J125,2)</f>
        <v>4950</v>
      </c>
    </row>
    <row r="126" customFormat="false" ht="15" hidden="false" customHeight="false" outlineLevel="0" collapsed="false">
      <c r="A126" s="2" t="s">
        <v>198</v>
      </c>
      <c r="B126" s="3" t="n">
        <v>46218</v>
      </c>
      <c r="C126" s="4" t="s">
        <v>84</v>
      </c>
      <c r="D126" s="2" t="s">
        <v>75</v>
      </c>
      <c r="E126" s="2" t="s">
        <v>39</v>
      </c>
      <c r="F126" s="2" t="s">
        <v>72</v>
      </c>
      <c r="G126" s="4" t="s">
        <v>73</v>
      </c>
      <c r="H126" s="2" t="s">
        <v>17</v>
      </c>
      <c r="I126" s="5" t="n">
        <v>128</v>
      </c>
      <c r="J126" s="2" t="n">
        <v>79</v>
      </c>
      <c r="K126" s="5" t="n">
        <f aca="false">ROUND(I126*J126,2)</f>
        <v>10112</v>
      </c>
    </row>
    <row r="127" customFormat="false" ht="15" hidden="false" customHeight="false" outlineLevel="0" collapsed="false">
      <c r="A127" s="6" t="s">
        <v>199</v>
      </c>
      <c r="B127" s="7" t="n">
        <v>46219</v>
      </c>
      <c r="C127" s="8" t="s">
        <v>84</v>
      </c>
      <c r="D127" s="6" t="s">
        <v>55</v>
      </c>
      <c r="E127" s="6" t="s">
        <v>39</v>
      </c>
      <c r="F127" s="6" t="s">
        <v>72</v>
      </c>
      <c r="G127" s="8" t="s">
        <v>73</v>
      </c>
      <c r="H127" s="6" t="s">
        <v>17</v>
      </c>
      <c r="I127" s="9" t="n">
        <v>128</v>
      </c>
      <c r="J127" s="6" t="n">
        <v>41</v>
      </c>
      <c r="K127" s="9" t="n">
        <f aca="false">ROUND(I127*J127,2)</f>
        <v>5248</v>
      </c>
    </row>
    <row r="128" customFormat="false" ht="15" hidden="false" customHeight="false" outlineLevel="0" collapsed="false">
      <c r="A128" s="2" t="s">
        <v>200</v>
      </c>
      <c r="B128" s="3" t="n">
        <v>46220</v>
      </c>
      <c r="C128" s="4" t="s">
        <v>65</v>
      </c>
      <c r="D128" s="2" t="s">
        <v>61</v>
      </c>
      <c r="E128" s="2" t="s">
        <v>34</v>
      </c>
      <c r="F128" s="2" t="s">
        <v>85</v>
      </c>
      <c r="G128" s="4" t="s">
        <v>86</v>
      </c>
      <c r="H128" s="2" t="s">
        <v>17</v>
      </c>
      <c r="I128" s="5" t="n">
        <v>385</v>
      </c>
      <c r="J128" s="2" t="n">
        <v>66</v>
      </c>
      <c r="K128" s="5" t="n">
        <f aca="false">ROUND(I128*J128,2)</f>
        <v>25410</v>
      </c>
    </row>
    <row r="129" customFormat="false" ht="15" hidden="false" customHeight="false" outlineLevel="0" collapsed="false">
      <c r="A129" s="6" t="s">
        <v>201</v>
      </c>
      <c r="B129" s="7" t="n">
        <v>46221</v>
      </c>
      <c r="C129" s="8" t="s">
        <v>80</v>
      </c>
      <c r="D129" s="6" t="s">
        <v>30</v>
      </c>
      <c r="E129" s="6" t="s">
        <v>34</v>
      </c>
      <c r="F129" s="6" t="s">
        <v>35</v>
      </c>
      <c r="G129" s="8" t="s">
        <v>36</v>
      </c>
      <c r="H129" s="6" t="s">
        <v>17</v>
      </c>
      <c r="I129" s="9" t="n">
        <v>89</v>
      </c>
      <c r="J129" s="6" t="n">
        <v>78</v>
      </c>
      <c r="K129" s="9" t="n">
        <f aca="false">ROUND(I129*J129,2)</f>
        <v>6942</v>
      </c>
    </row>
    <row r="130" customFormat="false" ht="15" hidden="false" customHeight="false" outlineLevel="0" collapsed="false">
      <c r="A130" s="2" t="s">
        <v>202</v>
      </c>
      <c r="B130" s="3" t="n">
        <v>46222</v>
      </c>
      <c r="C130" s="4" t="s">
        <v>33</v>
      </c>
      <c r="D130" s="2" t="s">
        <v>13</v>
      </c>
      <c r="E130" s="2" t="s">
        <v>34</v>
      </c>
      <c r="F130" s="2" t="s">
        <v>92</v>
      </c>
      <c r="G130" s="4" t="s">
        <v>93</v>
      </c>
      <c r="H130" s="2" t="s">
        <v>22</v>
      </c>
      <c r="I130" s="5" t="n">
        <v>1299</v>
      </c>
      <c r="J130" s="2" t="n">
        <v>3</v>
      </c>
      <c r="K130" s="5" t="n">
        <f aca="false">ROUND(I130*J130,2)</f>
        <v>3897</v>
      </c>
    </row>
    <row r="131" customFormat="false" ht="15" hidden="false" customHeight="false" outlineLevel="0" collapsed="false">
      <c r="A131" s="6" t="s">
        <v>203</v>
      </c>
      <c r="B131" s="7" t="n">
        <v>46226</v>
      </c>
      <c r="C131" s="8" t="s">
        <v>84</v>
      </c>
      <c r="D131" s="6" t="s">
        <v>75</v>
      </c>
      <c r="E131" s="6" t="s">
        <v>39</v>
      </c>
      <c r="F131" s="6" t="s">
        <v>49</v>
      </c>
      <c r="G131" s="8" t="s">
        <v>50</v>
      </c>
      <c r="H131" s="6" t="s">
        <v>51</v>
      </c>
      <c r="I131" s="9" t="n">
        <v>699</v>
      </c>
      <c r="J131" s="6" t="n">
        <v>29</v>
      </c>
      <c r="K131" s="9" t="n">
        <f aca="false">ROUND(I131*J131,2)</f>
        <v>20271</v>
      </c>
    </row>
    <row r="132" customFormat="false" ht="15" hidden="false" customHeight="false" outlineLevel="0" collapsed="false">
      <c r="A132" s="2" t="s">
        <v>204</v>
      </c>
      <c r="B132" s="3" t="n">
        <v>46226</v>
      </c>
      <c r="C132" s="4" t="s">
        <v>84</v>
      </c>
      <c r="D132" s="2" t="s">
        <v>61</v>
      </c>
      <c r="E132" s="2" t="s">
        <v>39</v>
      </c>
      <c r="F132" s="2" t="s">
        <v>57</v>
      </c>
      <c r="G132" s="4" t="s">
        <v>58</v>
      </c>
      <c r="H132" s="2" t="s">
        <v>27</v>
      </c>
      <c r="I132" s="5" t="n">
        <v>1299</v>
      </c>
      <c r="J132" s="2" t="n">
        <v>9</v>
      </c>
      <c r="K132" s="5" t="n">
        <f aca="false">ROUND(I132*J132,2)</f>
        <v>11691</v>
      </c>
    </row>
    <row r="133" customFormat="false" ht="15" hidden="false" customHeight="false" outlineLevel="0" collapsed="false">
      <c r="A133" s="6" t="s">
        <v>205</v>
      </c>
      <c r="B133" s="7" t="n">
        <v>46227</v>
      </c>
      <c r="C133" s="8" t="s">
        <v>65</v>
      </c>
      <c r="D133" s="6" t="s">
        <v>61</v>
      </c>
      <c r="E133" s="6" t="s">
        <v>34</v>
      </c>
      <c r="F133" s="6" t="s">
        <v>57</v>
      </c>
      <c r="G133" s="8" t="s">
        <v>58</v>
      </c>
      <c r="H133" s="6" t="s">
        <v>27</v>
      </c>
      <c r="I133" s="9" t="n">
        <v>1299</v>
      </c>
      <c r="J133" s="6" t="n">
        <v>8</v>
      </c>
      <c r="K133" s="9" t="n">
        <f aca="false">ROUND(I133*J133,2)</f>
        <v>10392</v>
      </c>
    </row>
    <row r="134" customFormat="false" ht="15" hidden="false" customHeight="false" outlineLevel="0" collapsed="false">
      <c r="A134" s="2" t="s">
        <v>206</v>
      </c>
      <c r="B134" s="3" t="n">
        <v>46228</v>
      </c>
      <c r="C134" s="4" t="s">
        <v>112</v>
      </c>
      <c r="D134" s="2" t="s">
        <v>61</v>
      </c>
      <c r="E134" s="2" t="s">
        <v>44</v>
      </c>
      <c r="F134" s="2" t="s">
        <v>57</v>
      </c>
      <c r="G134" s="4" t="s">
        <v>58</v>
      </c>
      <c r="H134" s="2" t="s">
        <v>27</v>
      </c>
      <c r="I134" s="5" t="n">
        <v>1299</v>
      </c>
      <c r="J134" s="2" t="n">
        <v>12</v>
      </c>
      <c r="K134" s="5" t="n">
        <f aca="false">ROUND(I134*J134,2)</f>
        <v>15588</v>
      </c>
    </row>
    <row r="135" customFormat="false" ht="15" hidden="false" customHeight="false" outlineLevel="0" collapsed="false">
      <c r="A135" s="6" t="s">
        <v>207</v>
      </c>
      <c r="B135" s="7" t="n">
        <v>46230</v>
      </c>
      <c r="C135" s="8" t="s">
        <v>38</v>
      </c>
      <c r="D135" s="6" t="s">
        <v>19</v>
      </c>
      <c r="E135" s="6" t="s">
        <v>39</v>
      </c>
      <c r="F135" s="6" t="s">
        <v>35</v>
      </c>
      <c r="G135" s="8" t="s">
        <v>36</v>
      </c>
      <c r="H135" s="6" t="s">
        <v>17</v>
      </c>
      <c r="I135" s="9" t="n">
        <v>89</v>
      </c>
      <c r="J135" s="6" t="n">
        <v>104</v>
      </c>
      <c r="K135" s="9" t="n">
        <f aca="false">ROUND(I135*J135,2)</f>
        <v>9256</v>
      </c>
    </row>
    <row r="136" customFormat="false" ht="15" hidden="false" customHeight="false" outlineLevel="0" collapsed="false">
      <c r="A136" s="2" t="s">
        <v>208</v>
      </c>
      <c r="B136" s="3" t="n">
        <v>46231</v>
      </c>
      <c r="C136" s="4" t="s">
        <v>43</v>
      </c>
      <c r="D136" s="2" t="s">
        <v>55</v>
      </c>
      <c r="E136" s="2" t="s">
        <v>44</v>
      </c>
      <c r="F136" s="2" t="s">
        <v>15</v>
      </c>
      <c r="G136" s="4" t="s">
        <v>16</v>
      </c>
      <c r="H136" s="2" t="s">
        <v>17</v>
      </c>
      <c r="I136" s="5" t="n">
        <v>45</v>
      </c>
      <c r="J136" s="2" t="n">
        <v>120</v>
      </c>
      <c r="K136" s="5" t="n">
        <f aca="false">ROUND(I136*J136,2)</f>
        <v>5400</v>
      </c>
    </row>
    <row r="137" customFormat="false" ht="15" hidden="false" customHeight="false" outlineLevel="0" collapsed="false">
      <c r="A137" s="6" t="s">
        <v>209</v>
      </c>
      <c r="B137" s="7" t="n">
        <v>46231</v>
      </c>
      <c r="C137" s="8" t="s">
        <v>29</v>
      </c>
      <c r="D137" s="6" t="s">
        <v>13</v>
      </c>
      <c r="E137" s="6" t="s">
        <v>31</v>
      </c>
      <c r="F137" s="6" t="s">
        <v>15</v>
      </c>
      <c r="G137" s="8" t="s">
        <v>16</v>
      </c>
      <c r="H137" s="6" t="s">
        <v>17</v>
      </c>
      <c r="I137" s="9" t="n">
        <v>45</v>
      </c>
      <c r="J137" s="6" t="n">
        <v>87</v>
      </c>
      <c r="K137" s="9" t="n">
        <f aca="false">ROUND(I137*J137,2)</f>
        <v>3915</v>
      </c>
    </row>
    <row r="138" customFormat="false" ht="15" hidden="false" customHeight="false" outlineLevel="0" collapsed="false">
      <c r="A138" s="2" t="s">
        <v>210</v>
      </c>
      <c r="B138" s="3" t="n">
        <v>46233</v>
      </c>
      <c r="C138" s="4" t="s">
        <v>112</v>
      </c>
      <c r="D138" s="2" t="s">
        <v>75</v>
      </c>
      <c r="E138" s="2" t="s">
        <v>44</v>
      </c>
      <c r="F138" s="2" t="s">
        <v>62</v>
      </c>
      <c r="G138" s="4" t="s">
        <v>63</v>
      </c>
      <c r="H138" s="2" t="s">
        <v>22</v>
      </c>
      <c r="I138" s="5" t="n">
        <v>2499</v>
      </c>
      <c r="J138" s="2" t="n">
        <v>3</v>
      </c>
      <c r="K138" s="5" t="n">
        <f aca="false">ROUND(I138*J138,2)</f>
        <v>7497</v>
      </c>
    </row>
    <row r="139" customFormat="false" ht="15" hidden="false" customHeight="false" outlineLevel="0" collapsed="false">
      <c r="A139" s="6" t="s">
        <v>211</v>
      </c>
      <c r="B139" s="7" t="n">
        <v>46233</v>
      </c>
      <c r="C139" s="8" t="s">
        <v>84</v>
      </c>
      <c r="D139" s="6" t="s">
        <v>61</v>
      </c>
      <c r="E139" s="6" t="s">
        <v>39</v>
      </c>
      <c r="F139" s="6" t="s">
        <v>20</v>
      </c>
      <c r="G139" s="8" t="s">
        <v>21</v>
      </c>
      <c r="H139" s="6" t="s">
        <v>22</v>
      </c>
      <c r="I139" s="9" t="n">
        <v>3599</v>
      </c>
      <c r="J139" s="6" t="n">
        <v>2</v>
      </c>
      <c r="K139" s="9" t="n">
        <f aca="false">ROUND(I139*J139,2)</f>
        <v>7198</v>
      </c>
    </row>
    <row r="140" customFormat="false" ht="15" hidden="false" customHeight="false" outlineLevel="0" collapsed="false">
      <c r="A140" s="2" t="s">
        <v>212</v>
      </c>
      <c r="B140" s="3" t="n">
        <v>46233</v>
      </c>
      <c r="C140" s="4" t="s">
        <v>80</v>
      </c>
      <c r="D140" s="2" t="s">
        <v>30</v>
      </c>
      <c r="E140" s="2" t="s">
        <v>34</v>
      </c>
      <c r="F140" s="2" t="s">
        <v>62</v>
      </c>
      <c r="G140" s="4" t="s">
        <v>63</v>
      </c>
      <c r="H140" s="2" t="s">
        <v>22</v>
      </c>
      <c r="I140" s="5" t="n">
        <v>2499</v>
      </c>
      <c r="J140" s="2" t="n">
        <v>4</v>
      </c>
      <c r="K140" s="5" t="n">
        <f aca="false">ROUND(I140*J140,2)</f>
        <v>9996</v>
      </c>
    </row>
    <row r="141" customFormat="false" ht="15" hidden="false" customHeight="false" outlineLevel="0" collapsed="false">
      <c r="A141" s="6" t="s">
        <v>213</v>
      </c>
      <c r="B141" s="7" t="n">
        <v>46240</v>
      </c>
      <c r="C141" s="8" t="s">
        <v>80</v>
      </c>
      <c r="D141" s="6" t="s">
        <v>30</v>
      </c>
      <c r="E141" s="6" t="s">
        <v>34</v>
      </c>
      <c r="F141" s="6" t="s">
        <v>35</v>
      </c>
      <c r="G141" s="8" t="s">
        <v>36</v>
      </c>
      <c r="H141" s="6" t="s">
        <v>17</v>
      </c>
      <c r="I141" s="9" t="n">
        <v>89</v>
      </c>
      <c r="J141" s="6" t="n">
        <v>63</v>
      </c>
      <c r="K141" s="9" t="n">
        <f aca="false">ROUND(I141*J141,2)</f>
        <v>5607</v>
      </c>
    </row>
    <row r="142" customFormat="false" ht="15" hidden="false" customHeight="false" outlineLevel="0" collapsed="false">
      <c r="A142" s="2" t="s">
        <v>214</v>
      </c>
      <c r="B142" s="3" t="n">
        <v>46241</v>
      </c>
      <c r="C142" s="4" t="s">
        <v>43</v>
      </c>
      <c r="D142" s="2" t="s">
        <v>91</v>
      </c>
      <c r="E142" s="2" t="s">
        <v>44</v>
      </c>
      <c r="F142" s="2" t="s">
        <v>69</v>
      </c>
      <c r="G142" s="4" t="s">
        <v>70</v>
      </c>
      <c r="H142" s="2" t="s">
        <v>51</v>
      </c>
      <c r="I142" s="5" t="n">
        <v>599</v>
      </c>
      <c r="J142" s="2" t="n">
        <v>2</v>
      </c>
      <c r="K142" s="5" t="n">
        <f aca="false">ROUND(I142*J142,2)</f>
        <v>1198</v>
      </c>
    </row>
    <row r="143" customFormat="false" ht="15" hidden="false" customHeight="false" outlineLevel="0" collapsed="false">
      <c r="A143" s="6" t="s">
        <v>215</v>
      </c>
      <c r="B143" s="7" t="n">
        <v>46242</v>
      </c>
      <c r="C143" s="8" t="s">
        <v>33</v>
      </c>
      <c r="D143" s="6" t="s">
        <v>61</v>
      </c>
      <c r="E143" s="6" t="s">
        <v>34</v>
      </c>
      <c r="F143" s="6" t="s">
        <v>72</v>
      </c>
      <c r="G143" s="8" t="s">
        <v>73</v>
      </c>
      <c r="H143" s="6" t="s">
        <v>17</v>
      </c>
      <c r="I143" s="9" t="n">
        <v>128</v>
      </c>
      <c r="J143" s="6" t="n">
        <v>78</v>
      </c>
      <c r="K143" s="9" t="n">
        <f aca="false">ROUND(I143*J143,2)</f>
        <v>9984</v>
      </c>
    </row>
    <row r="144" customFormat="false" ht="15" hidden="false" customHeight="false" outlineLevel="0" collapsed="false">
      <c r="A144" s="2" t="s">
        <v>216</v>
      </c>
      <c r="B144" s="3" t="n">
        <v>46242</v>
      </c>
      <c r="C144" s="4" t="s">
        <v>112</v>
      </c>
      <c r="D144" s="2" t="s">
        <v>30</v>
      </c>
      <c r="E144" s="2" t="s">
        <v>44</v>
      </c>
      <c r="F144" s="2" t="s">
        <v>15</v>
      </c>
      <c r="G144" s="4" t="s">
        <v>16</v>
      </c>
      <c r="H144" s="2" t="s">
        <v>17</v>
      </c>
      <c r="I144" s="5" t="n">
        <v>45</v>
      </c>
      <c r="J144" s="2" t="n">
        <v>69</v>
      </c>
      <c r="K144" s="5" t="n">
        <f aca="false">ROUND(I144*J144,2)</f>
        <v>3105</v>
      </c>
    </row>
    <row r="145" customFormat="false" ht="15" hidden="false" customHeight="false" outlineLevel="0" collapsed="false">
      <c r="A145" s="6" t="s">
        <v>217</v>
      </c>
      <c r="B145" s="7" t="n">
        <v>46244</v>
      </c>
      <c r="C145" s="8" t="s">
        <v>65</v>
      </c>
      <c r="D145" s="6" t="s">
        <v>13</v>
      </c>
      <c r="E145" s="6" t="s">
        <v>34</v>
      </c>
      <c r="F145" s="6" t="s">
        <v>98</v>
      </c>
      <c r="G145" s="8" t="s">
        <v>99</v>
      </c>
      <c r="H145" s="6" t="s">
        <v>51</v>
      </c>
      <c r="I145" s="9" t="n">
        <v>899</v>
      </c>
      <c r="J145" s="6" t="n">
        <v>17</v>
      </c>
      <c r="K145" s="9" t="n">
        <f aca="false">ROUND(I145*J145,2)</f>
        <v>15283</v>
      </c>
    </row>
    <row r="146" customFormat="false" ht="15" hidden="false" customHeight="false" outlineLevel="0" collapsed="false">
      <c r="A146" s="2" t="s">
        <v>218</v>
      </c>
      <c r="B146" s="3" t="n">
        <v>46244</v>
      </c>
      <c r="C146" s="4" t="s">
        <v>43</v>
      </c>
      <c r="D146" s="2" t="s">
        <v>55</v>
      </c>
      <c r="E146" s="2" t="s">
        <v>44</v>
      </c>
      <c r="F146" s="2" t="s">
        <v>72</v>
      </c>
      <c r="G146" s="4" t="s">
        <v>73</v>
      </c>
      <c r="H146" s="2" t="s">
        <v>17</v>
      </c>
      <c r="I146" s="5" t="n">
        <v>128</v>
      </c>
      <c r="J146" s="2" t="n">
        <v>33</v>
      </c>
      <c r="K146" s="5" t="n">
        <f aca="false">ROUND(I146*J146,2)</f>
        <v>4224</v>
      </c>
    </row>
    <row r="147" customFormat="false" ht="15" hidden="false" customHeight="false" outlineLevel="0" collapsed="false">
      <c r="A147" s="6" t="s">
        <v>219</v>
      </c>
      <c r="B147" s="7" t="n">
        <v>46244</v>
      </c>
      <c r="C147" s="8" t="s">
        <v>12</v>
      </c>
      <c r="D147" s="6" t="s">
        <v>55</v>
      </c>
      <c r="E147" s="6" t="s">
        <v>14</v>
      </c>
      <c r="F147" s="6" t="s">
        <v>72</v>
      </c>
      <c r="G147" s="8" t="s">
        <v>73</v>
      </c>
      <c r="H147" s="6" t="s">
        <v>17</v>
      </c>
      <c r="I147" s="9" t="n">
        <v>128</v>
      </c>
      <c r="J147" s="6" t="n">
        <v>108</v>
      </c>
      <c r="K147" s="9" t="n">
        <f aca="false">ROUND(I147*J147,2)</f>
        <v>13824</v>
      </c>
    </row>
    <row r="148" customFormat="false" ht="15" hidden="false" customHeight="false" outlineLevel="0" collapsed="false">
      <c r="A148" s="2" t="s">
        <v>220</v>
      </c>
      <c r="B148" s="3" t="n">
        <v>46244</v>
      </c>
      <c r="C148" s="4" t="s">
        <v>67</v>
      </c>
      <c r="D148" s="2" t="s">
        <v>75</v>
      </c>
      <c r="E148" s="2" t="s">
        <v>68</v>
      </c>
      <c r="F148" s="2" t="s">
        <v>85</v>
      </c>
      <c r="G148" s="4" t="s">
        <v>86</v>
      </c>
      <c r="H148" s="2" t="s">
        <v>17</v>
      </c>
      <c r="I148" s="5" t="n">
        <v>385</v>
      </c>
      <c r="J148" s="2" t="n">
        <v>25</v>
      </c>
      <c r="K148" s="5" t="n">
        <f aca="false">ROUND(I148*J148,2)</f>
        <v>9625</v>
      </c>
    </row>
    <row r="149" customFormat="false" ht="15" hidden="false" customHeight="false" outlineLevel="0" collapsed="false">
      <c r="A149" s="6" t="s">
        <v>221</v>
      </c>
      <c r="B149" s="7" t="n">
        <v>46246</v>
      </c>
      <c r="C149" s="8" t="s">
        <v>88</v>
      </c>
      <c r="D149" s="6" t="s">
        <v>30</v>
      </c>
      <c r="E149" s="6" t="s">
        <v>34</v>
      </c>
      <c r="F149" s="6" t="s">
        <v>49</v>
      </c>
      <c r="G149" s="8" t="s">
        <v>50</v>
      </c>
      <c r="H149" s="6" t="s">
        <v>51</v>
      </c>
      <c r="I149" s="9" t="n">
        <v>699</v>
      </c>
      <c r="J149" s="6" t="n">
        <v>32</v>
      </c>
      <c r="K149" s="9" t="n">
        <f aca="false">ROUND(I149*J149,2)</f>
        <v>22368</v>
      </c>
    </row>
    <row r="150" customFormat="false" ht="15" hidden="false" customHeight="false" outlineLevel="0" collapsed="false">
      <c r="A150" s="2" t="s">
        <v>222</v>
      </c>
      <c r="B150" s="3" t="n">
        <v>46246</v>
      </c>
      <c r="C150" s="4" t="s">
        <v>33</v>
      </c>
      <c r="D150" s="2" t="s">
        <v>24</v>
      </c>
      <c r="E150" s="2" t="s">
        <v>34</v>
      </c>
      <c r="F150" s="2" t="s">
        <v>15</v>
      </c>
      <c r="G150" s="4" t="s">
        <v>16</v>
      </c>
      <c r="H150" s="2" t="s">
        <v>17</v>
      </c>
      <c r="I150" s="5" t="n">
        <v>45</v>
      </c>
      <c r="J150" s="2" t="n">
        <v>107</v>
      </c>
      <c r="K150" s="5" t="n">
        <f aca="false">ROUND(I150*J150,2)</f>
        <v>4815</v>
      </c>
    </row>
    <row r="151" customFormat="false" ht="15" hidden="false" customHeight="false" outlineLevel="0" collapsed="false">
      <c r="A151" s="6" t="s">
        <v>223</v>
      </c>
      <c r="B151" s="7" t="n">
        <v>46247</v>
      </c>
      <c r="C151" s="8" t="s">
        <v>84</v>
      </c>
      <c r="D151" s="6" t="s">
        <v>30</v>
      </c>
      <c r="E151" s="6" t="s">
        <v>39</v>
      </c>
      <c r="F151" s="6" t="s">
        <v>85</v>
      </c>
      <c r="G151" s="8" t="s">
        <v>86</v>
      </c>
      <c r="H151" s="6" t="s">
        <v>17</v>
      </c>
      <c r="I151" s="9" t="n">
        <v>385</v>
      </c>
      <c r="J151" s="6" t="n">
        <v>56</v>
      </c>
      <c r="K151" s="9" t="n">
        <f aca="false">ROUND(I151*J151,2)</f>
        <v>21560</v>
      </c>
    </row>
    <row r="152" customFormat="false" ht="15" hidden="false" customHeight="false" outlineLevel="0" collapsed="false">
      <c r="A152" s="2" t="s">
        <v>224</v>
      </c>
      <c r="B152" s="3" t="n">
        <v>46247</v>
      </c>
      <c r="C152" s="4" t="s">
        <v>38</v>
      </c>
      <c r="D152" s="2" t="s">
        <v>91</v>
      </c>
      <c r="E152" s="2" t="s">
        <v>39</v>
      </c>
      <c r="F152" s="2" t="s">
        <v>69</v>
      </c>
      <c r="G152" s="4" t="s">
        <v>70</v>
      </c>
      <c r="H152" s="2" t="s">
        <v>51</v>
      </c>
      <c r="I152" s="5" t="n">
        <v>599</v>
      </c>
      <c r="J152" s="2" t="n">
        <v>2</v>
      </c>
      <c r="K152" s="5" t="n">
        <f aca="false">ROUND(I152*J152,2)</f>
        <v>1198</v>
      </c>
    </row>
    <row r="153" customFormat="false" ht="15" hidden="false" customHeight="false" outlineLevel="0" collapsed="false">
      <c r="A153" s="6" t="s">
        <v>225</v>
      </c>
      <c r="B153" s="7" t="n">
        <v>46247</v>
      </c>
      <c r="C153" s="8" t="s">
        <v>12</v>
      </c>
      <c r="D153" s="6" t="s">
        <v>24</v>
      </c>
      <c r="E153" s="6" t="s">
        <v>14</v>
      </c>
      <c r="F153" s="6" t="s">
        <v>49</v>
      </c>
      <c r="G153" s="8" t="s">
        <v>50</v>
      </c>
      <c r="H153" s="6" t="s">
        <v>51</v>
      </c>
      <c r="I153" s="9" t="n">
        <v>699</v>
      </c>
      <c r="J153" s="6" t="n">
        <v>23</v>
      </c>
      <c r="K153" s="9" t="n">
        <f aca="false">ROUND(I153*J153,2)</f>
        <v>16077</v>
      </c>
    </row>
    <row r="154" customFormat="false" ht="15" hidden="false" customHeight="false" outlineLevel="0" collapsed="false">
      <c r="A154" s="2" t="s">
        <v>226</v>
      </c>
      <c r="B154" s="3" t="n">
        <v>46247</v>
      </c>
      <c r="C154" s="4" t="s">
        <v>43</v>
      </c>
      <c r="D154" s="2" t="s">
        <v>91</v>
      </c>
      <c r="E154" s="2" t="s">
        <v>44</v>
      </c>
      <c r="F154" s="2" t="s">
        <v>20</v>
      </c>
      <c r="G154" s="4" t="s">
        <v>21</v>
      </c>
      <c r="H154" s="2" t="s">
        <v>22</v>
      </c>
      <c r="I154" s="5" t="n">
        <v>3599</v>
      </c>
      <c r="J154" s="2" t="n">
        <v>4</v>
      </c>
      <c r="K154" s="5" t="n">
        <f aca="false">ROUND(I154*J154,2)</f>
        <v>14396</v>
      </c>
    </row>
    <row r="155" customFormat="false" ht="15" hidden="false" customHeight="false" outlineLevel="0" collapsed="false">
      <c r="A155" s="6" t="s">
        <v>227</v>
      </c>
      <c r="B155" s="7" t="n">
        <v>46247</v>
      </c>
      <c r="C155" s="8" t="s">
        <v>78</v>
      </c>
      <c r="D155" s="6" t="s">
        <v>61</v>
      </c>
      <c r="E155" s="6" t="s">
        <v>39</v>
      </c>
      <c r="F155" s="6" t="s">
        <v>35</v>
      </c>
      <c r="G155" s="8" t="s">
        <v>36</v>
      </c>
      <c r="H155" s="6" t="s">
        <v>17</v>
      </c>
      <c r="I155" s="9" t="n">
        <v>89</v>
      </c>
      <c r="J155" s="6" t="n">
        <v>15</v>
      </c>
      <c r="K155" s="9" t="n">
        <f aca="false">ROUND(I155*J155,2)</f>
        <v>1335</v>
      </c>
    </row>
    <row r="156" customFormat="false" ht="15" hidden="false" customHeight="false" outlineLevel="0" collapsed="false">
      <c r="A156" s="2" t="s">
        <v>228</v>
      </c>
      <c r="B156" s="3" t="n">
        <v>46248</v>
      </c>
      <c r="C156" s="4" t="s">
        <v>65</v>
      </c>
      <c r="D156" s="2" t="s">
        <v>61</v>
      </c>
      <c r="E156" s="2" t="s">
        <v>34</v>
      </c>
      <c r="F156" s="2" t="s">
        <v>35</v>
      </c>
      <c r="G156" s="4" t="s">
        <v>36</v>
      </c>
      <c r="H156" s="2" t="s">
        <v>17</v>
      </c>
      <c r="I156" s="5" t="n">
        <v>89</v>
      </c>
      <c r="J156" s="2" t="n">
        <v>104</v>
      </c>
      <c r="K156" s="5" t="n">
        <f aca="false">ROUND(I156*J156,2)</f>
        <v>9256</v>
      </c>
    </row>
    <row r="157" customFormat="false" ht="15" hidden="false" customHeight="false" outlineLevel="0" collapsed="false">
      <c r="A157" s="6" t="s">
        <v>229</v>
      </c>
      <c r="B157" s="7" t="n">
        <v>46248</v>
      </c>
      <c r="C157" s="8" t="s">
        <v>88</v>
      </c>
      <c r="D157" s="6" t="s">
        <v>75</v>
      </c>
      <c r="E157" s="6" t="s">
        <v>34</v>
      </c>
      <c r="F157" s="6" t="s">
        <v>72</v>
      </c>
      <c r="G157" s="8" t="s">
        <v>73</v>
      </c>
      <c r="H157" s="6" t="s">
        <v>17</v>
      </c>
      <c r="I157" s="9" t="n">
        <v>128</v>
      </c>
      <c r="J157" s="6" t="n">
        <v>69</v>
      </c>
      <c r="K157" s="9" t="n">
        <f aca="false">ROUND(I157*J157,2)</f>
        <v>8832</v>
      </c>
    </row>
    <row r="158" customFormat="false" ht="15" hidden="false" customHeight="false" outlineLevel="0" collapsed="false">
      <c r="A158" s="2" t="s">
        <v>230</v>
      </c>
      <c r="B158" s="3" t="n">
        <v>46250</v>
      </c>
      <c r="C158" s="4" t="s">
        <v>88</v>
      </c>
      <c r="D158" s="2" t="s">
        <v>91</v>
      </c>
      <c r="E158" s="2" t="s">
        <v>34</v>
      </c>
      <c r="F158" s="2" t="s">
        <v>35</v>
      </c>
      <c r="G158" s="4" t="s">
        <v>36</v>
      </c>
      <c r="H158" s="2" t="s">
        <v>17</v>
      </c>
      <c r="I158" s="5" t="n">
        <v>89</v>
      </c>
      <c r="J158" s="2" t="n">
        <v>62</v>
      </c>
      <c r="K158" s="5" t="n">
        <f aca="false">ROUND(I158*J158,2)</f>
        <v>5518</v>
      </c>
    </row>
    <row r="159" customFormat="false" ht="15" hidden="false" customHeight="false" outlineLevel="0" collapsed="false">
      <c r="A159" s="6" t="s">
        <v>231</v>
      </c>
      <c r="B159" s="7" t="n">
        <v>46251</v>
      </c>
      <c r="C159" s="8" t="s">
        <v>48</v>
      </c>
      <c r="D159" s="6" t="s">
        <v>75</v>
      </c>
      <c r="E159" s="6" t="s">
        <v>34</v>
      </c>
      <c r="F159" s="6" t="s">
        <v>62</v>
      </c>
      <c r="G159" s="8" t="s">
        <v>63</v>
      </c>
      <c r="H159" s="6" t="s">
        <v>22</v>
      </c>
      <c r="I159" s="9" t="n">
        <v>2499</v>
      </c>
      <c r="J159" s="6" t="n">
        <v>5</v>
      </c>
      <c r="K159" s="9" t="n">
        <f aca="false">ROUND(I159*J159,2)</f>
        <v>12495</v>
      </c>
    </row>
    <row r="160" customFormat="false" ht="15" hidden="false" customHeight="false" outlineLevel="0" collapsed="false">
      <c r="A160" s="2" t="s">
        <v>232</v>
      </c>
      <c r="B160" s="3" t="n">
        <v>46252</v>
      </c>
      <c r="C160" s="4" t="s">
        <v>12</v>
      </c>
      <c r="D160" s="2" t="s">
        <v>13</v>
      </c>
      <c r="E160" s="2" t="s">
        <v>14</v>
      </c>
      <c r="F160" s="2" t="s">
        <v>40</v>
      </c>
      <c r="G160" s="4" t="s">
        <v>41</v>
      </c>
      <c r="H160" s="2" t="s">
        <v>22</v>
      </c>
      <c r="I160" s="5" t="n">
        <v>899</v>
      </c>
      <c r="J160" s="2" t="n">
        <v>8</v>
      </c>
      <c r="K160" s="5" t="n">
        <f aca="false">ROUND(I160*J160,2)</f>
        <v>7192</v>
      </c>
    </row>
    <row r="161" customFormat="false" ht="15" hidden="false" customHeight="false" outlineLevel="0" collapsed="false">
      <c r="A161" s="6" t="s">
        <v>233</v>
      </c>
      <c r="B161" s="7" t="n">
        <v>46252</v>
      </c>
      <c r="C161" s="8" t="s">
        <v>67</v>
      </c>
      <c r="D161" s="6" t="s">
        <v>30</v>
      </c>
      <c r="E161" s="6" t="s">
        <v>68</v>
      </c>
      <c r="F161" s="6" t="s">
        <v>45</v>
      </c>
      <c r="G161" s="8" t="s">
        <v>46</v>
      </c>
      <c r="H161" s="6" t="s">
        <v>27</v>
      </c>
      <c r="I161" s="9" t="n">
        <v>299</v>
      </c>
      <c r="J161" s="6" t="n">
        <v>7</v>
      </c>
      <c r="K161" s="9" t="n">
        <f aca="false">ROUND(I161*J161,2)</f>
        <v>2093</v>
      </c>
    </row>
  </sheetData>
  <autoFilter ref="A1:K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9.1"/>
    <col collapsed="false" customWidth="true" hidden="false" outlineLevel="0" max="4" min="4" style="0" width="10.92"/>
    <col collapsed="false" customWidth="true" hidden="false" outlineLevel="0" max="5" min="5" style="0" width="11.83"/>
    <col collapsed="false" customWidth="true" hidden="false" outlineLevel="0" max="6" min="6" style="0" width="16.38"/>
  </cols>
  <sheetData>
    <row r="1" customFormat="false" ht="24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234</v>
      </c>
      <c r="F1" s="1" t="s">
        <v>235</v>
      </c>
    </row>
    <row r="2" customFormat="false" ht="15" hidden="false" customHeight="false" outlineLevel="0" collapsed="false">
      <c r="A2" s="2" t="s">
        <v>62</v>
      </c>
      <c r="B2" s="4" t="s">
        <v>63</v>
      </c>
      <c r="C2" s="2" t="s">
        <v>22</v>
      </c>
      <c r="D2" s="5" t="n">
        <v>2499</v>
      </c>
      <c r="E2" s="5" t="n">
        <v>1850</v>
      </c>
      <c r="F2" s="4" t="s">
        <v>236</v>
      </c>
    </row>
    <row r="3" customFormat="false" ht="15" hidden="false" customHeight="false" outlineLevel="0" collapsed="false">
      <c r="A3" s="6" t="s">
        <v>20</v>
      </c>
      <c r="B3" s="8" t="s">
        <v>21</v>
      </c>
      <c r="C3" s="6" t="s">
        <v>22</v>
      </c>
      <c r="D3" s="9" t="n">
        <v>3599</v>
      </c>
      <c r="E3" s="9" t="n">
        <v>2700</v>
      </c>
      <c r="F3" s="8" t="s">
        <v>237</v>
      </c>
    </row>
    <row r="4" customFormat="false" ht="15" hidden="false" customHeight="false" outlineLevel="0" collapsed="false">
      <c r="A4" s="2" t="s">
        <v>40</v>
      </c>
      <c r="B4" s="4" t="s">
        <v>41</v>
      </c>
      <c r="C4" s="2" t="s">
        <v>22</v>
      </c>
      <c r="D4" s="5" t="n">
        <v>899</v>
      </c>
      <c r="E4" s="5" t="n">
        <v>620</v>
      </c>
      <c r="F4" s="4" t="s">
        <v>238</v>
      </c>
    </row>
    <row r="5" customFormat="false" ht="15" hidden="false" customHeight="false" outlineLevel="0" collapsed="false">
      <c r="A5" s="6" t="s">
        <v>92</v>
      </c>
      <c r="B5" s="8" t="s">
        <v>93</v>
      </c>
      <c r="C5" s="6" t="s">
        <v>22</v>
      </c>
      <c r="D5" s="9" t="n">
        <v>1299</v>
      </c>
      <c r="E5" s="9" t="n">
        <v>880</v>
      </c>
      <c r="F5" s="8" t="s">
        <v>239</v>
      </c>
    </row>
    <row r="6" customFormat="false" ht="15" hidden="false" customHeight="false" outlineLevel="0" collapsed="false">
      <c r="A6" s="2" t="s">
        <v>25</v>
      </c>
      <c r="B6" s="4" t="s">
        <v>26</v>
      </c>
      <c r="C6" s="2" t="s">
        <v>27</v>
      </c>
      <c r="D6" s="5" t="n">
        <v>5699</v>
      </c>
      <c r="E6" s="5" t="n">
        <v>4800</v>
      </c>
      <c r="F6" s="4" t="s">
        <v>240</v>
      </c>
    </row>
    <row r="7" customFormat="false" ht="15" hidden="false" customHeight="false" outlineLevel="0" collapsed="false">
      <c r="A7" s="6" t="s">
        <v>122</v>
      </c>
      <c r="B7" s="8" t="s">
        <v>123</v>
      </c>
      <c r="C7" s="6" t="s">
        <v>27</v>
      </c>
      <c r="D7" s="9" t="n">
        <v>4299</v>
      </c>
      <c r="E7" s="9" t="n">
        <v>3500</v>
      </c>
      <c r="F7" s="8" t="s">
        <v>240</v>
      </c>
    </row>
    <row r="8" customFormat="false" ht="15" hidden="false" customHeight="false" outlineLevel="0" collapsed="false">
      <c r="A8" s="2" t="s">
        <v>57</v>
      </c>
      <c r="B8" s="4" t="s">
        <v>58</v>
      </c>
      <c r="C8" s="2" t="s">
        <v>27</v>
      </c>
      <c r="D8" s="5" t="n">
        <v>1299</v>
      </c>
      <c r="E8" s="5" t="n">
        <v>950</v>
      </c>
      <c r="F8" s="4" t="s">
        <v>241</v>
      </c>
    </row>
    <row r="9" customFormat="false" ht="15" hidden="false" customHeight="false" outlineLevel="0" collapsed="false">
      <c r="A9" s="6" t="s">
        <v>45</v>
      </c>
      <c r="B9" s="8" t="s">
        <v>46</v>
      </c>
      <c r="C9" s="6" t="s">
        <v>27</v>
      </c>
      <c r="D9" s="9" t="n">
        <v>299</v>
      </c>
      <c r="E9" s="9" t="n">
        <v>190</v>
      </c>
      <c r="F9" s="8" t="s">
        <v>242</v>
      </c>
    </row>
    <row r="10" customFormat="false" ht="15" hidden="false" customHeight="false" outlineLevel="0" collapsed="false">
      <c r="A10" s="2" t="s">
        <v>72</v>
      </c>
      <c r="B10" s="4" t="s">
        <v>73</v>
      </c>
      <c r="C10" s="2" t="s">
        <v>17</v>
      </c>
      <c r="D10" s="5" t="n">
        <v>128</v>
      </c>
      <c r="E10" s="5" t="n">
        <v>95</v>
      </c>
      <c r="F10" s="4" t="s">
        <v>238</v>
      </c>
    </row>
    <row r="11" customFormat="false" ht="15" hidden="false" customHeight="false" outlineLevel="0" collapsed="false">
      <c r="A11" s="6" t="s">
        <v>85</v>
      </c>
      <c r="B11" s="8" t="s">
        <v>86</v>
      </c>
      <c r="C11" s="6" t="s">
        <v>17</v>
      </c>
      <c r="D11" s="9" t="n">
        <v>385</v>
      </c>
      <c r="E11" s="9" t="n">
        <v>260</v>
      </c>
      <c r="F11" s="8" t="s">
        <v>243</v>
      </c>
    </row>
    <row r="12" customFormat="false" ht="15" hidden="false" customHeight="false" outlineLevel="0" collapsed="false">
      <c r="A12" s="2" t="s">
        <v>15</v>
      </c>
      <c r="B12" s="4" t="s">
        <v>16</v>
      </c>
      <c r="C12" s="2" t="s">
        <v>17</v>
      </c>
      <c r="D12" s="5" t="n">
        <v>45</v>
      </c>
      <c r="E12" s="5" t="n">
        <v>28</v>
      </c>
      <c r="F12" s="4" t="s">
        <v>244</v>
      </c>
    </row>
    <row r="13" customFormat="false" ht="15" hidden="false" customHeight="false" outlineLevel="0" collapsed="false">
      <c r="A13" s="6" t="s">
        <v>35</v>
      </c>
      <c r="B13" s="8" t="s">
        <v>36</v>
      </c>
      <c r="C13" s="6" t="s">
        <v>17</v>
      </c>
      <c r="D13" s="9" t="n">
        <v>89</v>
      </c>
      <c r="E13" s="9" t="n">
        <v>55</v>
      </c>
      <c r="F13" s="8" t="s">
        <v>244</v>
      </c>
    </row>
    <row r="14" customFormat="false" ht="15" hidden="false" customHeight="false" outlineLevel="0" collapsed="false">
      <c r="A14" s="2" t="s">
        <v>49</v>
      </c>
      <c r="B14" s="4" t="s">
        <v>50</v>
      </c>
      <c r="C14" s="2" t="s">
        <v>51</v>
      </c>
      <c r="D14" s="5" t="n">
        <v>699</v>
      </c>
      <c r="E14" s="5" t="n">
        <v>300</v>
      </c>
      <c r="F14" s="4" t="s">
        <v>245</v>
      </c>
    </row>
    <row r="15" customFormat="false" ht="15" hidden="false" customHeight="false" outlineLevel="0" collapsed="false">
      <c r="A15" s="6" t="s">
        <v>98</v>
      </c>
      <c r="B15" s="8" t="s">
        <v>99</v>
      </c>
      <c r="C15" s="6" t="s">
        <v>51</v>
      </c>
      <c r="D15" s="9" t="n">
        <v>899</v>
      </c>
      <c r="E15" s="9" t="n">
        <v>420</v>
      </c>
      <c r="F15" s="8" t="s">
        <v>246</v>
      </c>
    </row>
    <row r="16" customFormat="false" ht="15" hidden="false" customHeight="false" outlineLevel="0" collapsed="false">
      <c r="A16" s="2" t="s">
        <v>69</v>
      </c>
      <c r="B16" s="4" t="s">
        <v>70</v>
      </c>
      <c r="C16" s="2" t="s">
        <v>51</v>
      </c>
      <c r="D16" s="5" t="n">
        <v>599</v>
      </c>
      <c r="E16" s="5" t="n">
        <v>250</v>
      </c>
      <c r="F16" s="4" t="s">
        <v>247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8.19"/>
    <col collapsed="false" customWidth="true" hidden="false" outlineLevel="0" max="3" min="3" style="0" width="10.01"/>
    <col collapsed="false" customWidth="true" hidden="false" outlineLevel="0" max="4" min="4" style="0" width="6.37"/>
    <col collapsed="false" customWidth="true" hidden="false" outlineLevel="0" max="5" min="5" style="0" width="10.92"/>
    <col collapsed="false" customWidth="true" hidden="false" outlineLevel="0" max="6" min="6" style="0" width="13.65"/>
    <col collapsed="false" customWidth="true" hidden="false" outlineLevel="0" max="7" min="7" style="0" width="12.74"/>
  </cols>
  <sheetData>
    <row r="1" customFormat="false" ht="24" hidden="false" customHeight="true" outlineLevel="0" collapsed="false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</row>
    <row r="2" customFormat="false" ht="15" hidden="false" customHeight="false" outlineLevel="0" collapsed="false">
      <c r="A2" s="2" t="s">
        <v>255</v>
      </c>
      <c r="B2" s="2" t="s">
        <v>13</v>
      </c>
      <c r="C2" s="2" t="s">
        <v>256</v>
      </c>
      <c r="D2" s="2" t="s">
        <v>257</v>
      </c>
      <c r="E2" s="3" t="n">
        <v>44270</v>
      </c>
      <c r="F2" s="10" t="n">
        <v>5500</v>
      </c>
      <c r="G2" s="2" t="s">
        <v>258</v>
      </c>
    </row>
    <row r="3" customFormat="false" ht="15" hidden="false" customHeight="false" outlineLevel="0" collapsed="false">
      <c r="A3" s="6" t="s">
        <v>259</v>
      </c>
      <c r="B3" s="6" t="s">
        <v>30</v>
      </c>
      <c r="C3" s="6" t="s">
        <v>256</v>
      </c>
      <c r="D3" s="6" t="s">
        <v>260</v>
      </c>
      <c r="E3" s="7" t="n">
        <v>44743</v>
      </c>
      <c r="F3" s="11" t="n">
        <v>5000</v>
      </c>
      <c r="G3" s="6" t="s">
        <v>261</v>
      </c>
    </row>
    <row r="4" customFormat="false" ht="15" hidden="false" customHeight="false" outlineLevel="0" collapsed="false">
      <c r="A4" s="2" t="s">
        <v>262</v>
      </c>
      <c r="B4" s="2" t="s">
        <v>55</v>
      </c>
      <c r="C4" s="2" t="s">
        <v>263</v>
      </c>
      <c r="D4" s="2" t="s">
        <v>257</v>
      </c>
      <c r="E4" s="3" t="n">
        <v>43971</v>
      </c>
      <c r="F4" s="10" t="n">
        <v>6000</v>
      </c>
      <c r="G4" s="2" t="s">
        <v>264</v>
      </c>
    </row>
    <row r="5" customFormat="false" ht="15" hidden="false" customHeight="false" outlineLevel="0" collapsed="false">
      <c r="A5" s="6" t="s">
        <v>265</v>
      </c>
      <c r="B5" s="6" t="s">
        <v>24</v>
      </c>
      <c r="C5" s="6" t="s">
        <v>263</v>
      </c>
      <c r="D5" s="6" t="s">
        <v>257</v>
      </c>
      <c r="E5" s="7" t="n">
        <v>44967</v>
      </c>
      <c r="F5" s="11" t="n">
        <v>4800</v>
      </c>
      <c r="G5" s="6" t="s">
        <v>266</v>
      </c>
    </row>
    <row r="6" customFormat="false" ht="15" hidden="false" customHeight="false" outlineLevel="0" collapsed="false">
      <c r="A6" s="2" t="s">
        <v>267</v>
      </c>
      <c r="B6" s="2" t="s">
        <v>75</v>
      </c>
      <c r="C6" s="2" t="s">
        <v>268</v>
      </c>
      <c r="D6" s="2" t="s">
        <v>260</v>
      </c>
      <c r="E6" s="3" t="n">
        <v>43709</v>
      </c>
      <c r="F6" s="10" t="n">
        <v>6500</v>
      </c>
      <c r="G6" s="2" t="s">
        <v>269</v>
      </c>
    </row>
    <row r="7" customFormat="false" ht="15" hidden="false" customHeight="false" outlineLevel="0" collapsed="false">
      <c r="A7" s="6" t="s">
        <v>270</v>
      </c>
      <c r="B7" s="6" t="s">
        <v>19</v>
      </c>
      <c r="C7" s="6" t="s">
        <v>268</v>
      </c>
      <c r="D7" s="6" t="s">
        <v>257</v>
      </c>
      <c r="E7" s="7" t="n">
        <v>44873</v>
      </c>
      <c r="F7" s="11" t="n">
        <v>5200</v>
      </c>
      <c r="G7" s="6" t="s">
        <v>271</v>
      </c>
    </row>
    <row r="8" customFormat="false" ht="15" hidden="false" customHeight="false" outlineLevel="0" collapsed="false">
      <c r="A8" s="2" t="s">
        <v>272</v>
      </c>
      <c r="B8" s="2" t="s">
        <v>91</v>
      </c>
      <c r="C8" s="2" t="s">
        <v>273</v>
      </c>
      <c r="D8" s="2" t="s">
        <v>257</v>
      </c>
      <c r="E8" s="3" t="n">
        <v>44377</v>
      </c>
      <c r="F8" s="10" t="n">
        <v>5300</v>
      </c>
      <c r="G8" s="2" t="s">
        <v>274</v>
      </c>
    </row>
    <row r="9" customFormat="false" ht="15" hidden="false" customHeight="false" outlineLevel="0" collapsed="false">
      <c r="A9" s="6" t="s">
        <v>275</v>
      </c>
      <c r="B9" s="6" t="s">
        <v>61</v>
      </c>
      <c r="C9" s="6" t="s">
        <v>273</v>
      </c>
      <c r="D9" s="6" t="s">
        <v>260</v>
      </c>
      <c r="E9" s="7" t="n">
        <v>45397</v>
      </c>
      <c r="F9" s="11" t="n">
        <v>4600</v>
      </c>
      <c r="G9" s="6" t="s">
        <v>276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3" min="2" style="0" width="10.92"/>
    <col collapsed="false" customWidth="true" hidden="false" outlineLevel="0" max="4" min="4" style="0" width="80.07"/>
  </cols>
  <sheetData>
    <row r="1" customFormat="false" ht="30" hidden="false" customHeight="true" outlineLevel="0" collapsed="false">
      <c r="A1" s="12" t="s">
        <v>277</v>
      </c>
      <c r="B1" s="12"/>
      <c r="C1" s="12"/>
      <c r="D1" s="12"/>
    </row>
    <row r="2" customFormat="false" ht="14" hidden="false" customHeight="false" outlineLevel="0" collapsed="false">
      <c r="A2" s="13" t="s">
        <v>278</v>
      </c>
      <c r="B2" s="13"/>
      <c r="C2" s="13"/>
      <c r="D2" s="13"/>
    </row>
    <row r="3" customFormat="false" ht="24" hidden="false" customHeight="true" outlineLevel="0" collapsed="false">
      <c r="A3" s="1" t="s">
        <v>279</v>
      </c>
      <c r="B3" s="1" t="s">
        <v>280</v>
      </c>
      <c r="C3" s="1" t="s">
        <v>281</v>
      </c>
      <c r="D3" s="1" t="s">
        <v>282</v>
      </c>
    </row>
    <row r="4" customFormat="false" ht="15" hidden="false" customHeight="false" outlineLevel="0" collapsed="false">
      <c r="A4" s="2" t="s">
        <v>283</v>
      </c>
      <c r="B4" s="2" t="s">
        <v>284</v>
      </c>
      <c r="C4" s="2" t="s">
        <v>285</v>
      </c>
      <c r="D4" s="4" t="s">
        <v>286</v>
      </c>
    </row>
    <row r="5" customFormat="false" ht="15" hidden="false" customHeight="false" outlineLevel="0" collapsed="false">
      <c r="A5" s="6" t="s">
        <v>287</v>
      </c>
      <c r="B5" s="6" t="s">
        <v>284</v>
      </c>
      <c r="C5" s="14" t="s">
        <v>285</v>
      </c>
      <c r="D5" s="8" t="s">
        <v>288</v>
      </c>
    </row>
    <row r="6" customFormat="false" ht="15" hidden="false" customHeight="false" outlineLevel="0" collapsed="false">
      <c r="A6" s="2" t="s">
        <v>289</v>
      </c>
      <c r="B6" s="2" t="s">
        <v>284</v>
      </c>
      <c r="C6" s="15" t="s">
        <v>285</v>
      </c>
      <c r="D6" s="4" t="s">
        <v>290</v>
      </c>
    </row>
    <row r="7" customFormat="false" ht="15" hidden="false" customHeight="false" outlineLevel="0" collapsed="false">
      <c r="A7" s="6" t="s">
        <v>291</v>
      </c>
      <c r="B7" s="6" t="s">
        <v>284</v>
      </c>
      <c r="C7" s="14" t="s">
        <v>292</v>
      </c>
      <c r="D7" s="8" t="s">
        <v>293</v>
      </c>
    </row>
    <row r="8" customFormat="false" ht="15" hidden="false" customHeight="false" outlineLevel="0" collapsed="false">
      <c r="A8" s="2" t="s">
        <v>294</v>
      </c>
      <c r="B8" s="2" t="s">
        <v>284</v>
      </c>
      <c r="C8" s="15" t="s">
        <v>295</v>
      </c>
      <c r="D8" s="4" t="s">
        <v>296</v>
      </c>
    </row>
    <row r="9" customFormat="false" ht="15" hidden="false" customHeight="false" outlineLevel="0" collapsed="false">
      <c r="A9" s="6" t="s">
        <v>297</v>
      </c>
      <c r="B9" s="6" t="s">
        <v>298</v>
      </c>
      <c r="C9" s="14" t="s">
        <v>285</v>
      </c>
      <c r="D9" s="8" t="s">
        <v>299</v>
      </c>
    </row>
    <row r="10" customFormat="false" ht="15" hidden="false" customHeight="false" outlineLevel="0" collapsed="false">
      <c r="A10" s="2" t="s">
        <v>300</v>
      </c>
      <c r="B10" s="2" t="s">
        <v>298</v>
      </c>
      <c r="C10" s="15" t="s">
        <v>292</v>
      </c>
      <c r="D10" s="4" t="s">
        <v>301</v>
      </c>
    </row>
    <row r="11" customFormat="false" ht="15" hidden="false" customHeight="false" outlineLevel="0" collapsed="false">
      <c r="A11" s="6" t="s">
        <v>302</v>
      </c>
      <c r="B11" s="6" t="s">
        <v>298</v>
      </c>
      <c r="C11" s="14" t="s">
        <v>292</v>
      </c>
      <c r="D11" s="8" t="s">
        <v>303</v>
      </c>
    </row>
    <row r="12" customFormat="false" ht="15" hidden="false" customHeight="false" outlineLevel="0" collapsed="false">
      <c r="A12" s="2" t="s">
        <v>304</v>
      </c>
      <c r="B12" s="2" t="s">
        <v>298</v>
      </c>
      <c r="C12" s="15" t="s">
        <v>292</v>
      </c>
      <c r="D12" s="4" t="s">
        <v>305</v>
      </c>
    </row>
    <row r="13" customFormat="false" ht="15" hidden="false" customHeight="false" outlineLevel="0" collapsed="false">
      <c r="A13" s="6" t="s">
        <v>306</v>
      </c>
      <c r="B13" s="6" t="s">
        <v>298</v>
      </c>
      <c r="C13" s="14" t="s">
        <v>295</v>
      </c>
      <c r="D13" s="8" t="s">
        <v>307</v>
      </c>
    </row>
    <row r="14" customFormat="false" ht="15" hidden="false" customHeight="false" outlineLevel="0" collapsed="false">
      <c r="A14" s="2" t="s">
        <v>308</v>
      </c>
      <c r="B14" s="2" t="s">
        <v>298</v>
      </c>
      <c r="C14" s="15" t="s">
        <v>295</v>
      </c>
      <c r="D14" s="4" t="s">
        <v>309</v>
      </c>
    </row>
    <row r="15" customFormat="false" ht="15" hidden="false" customHeight="false" outlineLevel="0" collapsed="false">
      <c r="A15" s="6" t="s">
        <v>310</v>
      </c>
      <c r="B15" s="6" t="s">
        <v>298</v>
      </c>
      <c r="C15" s="14" t="s">
        <v>292</v>
      </c>
      <c r="D15" s="8" t="s">
        <v>311</v>
      </c>
    </row>
    <row r="16" customFormat="false" ht="15" hidden="false" customHeight="false" outlineLevel="0" collapsed="false">
      <c r="A16" s="2" t="s">
        <v>312</v>
      </c>
      <c r="B16" s="2" t="s">
        <v>298</v>
      </c>
      <c r="C16" s="15" t="s">
        <v>295</v>
      </c>
      <c r="D16" s="4" t="s">
        <v>313</v>
      </c>
    </row>
    <row r="17" customFormat="false" ht="15" hidden="false" customHeight="false" outlineLevel="0" collapsed="false">
      <c r="A17" s="6" t="s">
        <v>314</v>
      </c>
      <c r="B17" s="6" t="s">
        <v>298</v>
      </c>
      <c r="C17" s="14" t="s">
        <v>295</v>
      </c>
      <c r="D17" s="8" t="s">
        <v>315</v>
      </c>
    </row>
    <row r="18" customFormat="false" ht="15" hidden="false" customHeight="false" outlineLevel="0" collapsed="false">
      <c r="A18" s="2" t="s">
        <v>316</v>
      </c>
      <c r="B18" s="2" t="s">
        <v>298</v>
      </c>
      <c r="C18" s="15" t="s">
        <v>317</v>
      </c>
      <c r="D18" s="4" t="s">
        <v>318</v>
      </c>
    </row>
    <row r="19" customFormat="false" ht="15" hidden="false" customHeight="false" outlineLevel="0" collapsed="false">
      <c r="A19" s="6" t="s">
        <v>319</v>
      </c>
      <c r="B19" s="6" t="s">
        <v>320</v>
      </c>
      <c r="C19" s="14" t="s">
        <v>292</v>
      </c>
      <c r="D19" s="8" t="s">
        <v>321</v>
      </c>
    </row>
    <row r="20" customFormat="false" ht="15" hidden="false" customHeight="false" outlineLevel="0" collapsed="false">
      <c r="A20" s="2" t="s">
        <v>322</v>
      </c>
      <c r="B20" s="2" t="s">
        <v>320</v>
      </c>
      <c r="C20" s="15" t="s">
        <v>295</v>
      </c>
      <c r="D20" s="4" t="s">
        <v>323</v>
      </c>
    </row>
    <row r="21" customFormat="false" ht="15" hidden="false" customHeight="false" outlineLevel="0" collapsed="false">
      <c r="A21" s="6" t="s">
        <v>324</v>
      </c>
      <c r="B21" s="6" t="s">
        <v>320</v>
      </c>
      <c r="C21" s="14" t="s">
        <v>295</v>
      </c>
      <c r="D21" s="8" t="s">
        <v>325</v>
      </c>
    </row>
    <row r="22" customFormat="false" ht="15" hidden="false" customHeight="false" outlineLevel="0" collapsed="false">
      <c r="A22" s="2" t="s">
        <v>326</v>
      </c>
      <c r="B22" s="2" t="s">
        <v>327</v>
      </c>
      <c r="C22" s="15" t="s">
        <v>292</v>
      </c>
      <c r="D22" s="4" t="s">
        <v>328</v>
      </c>
    </row>
    <row r="23" customFormat="false" ht="15" hidden="false" customHeight="false" outlineLevel="0" collapsed="false">
      <c r="A23" s="6" t="s">
        <v>329</v>
      </c>
      <c r="B23" s="6" t="s">
        <v>327</v>
      </c>
      <c r="C23" s="14" t="s">
        <v>295</v>
      </c>
      <c r="D23" s="8" t="s">
        <v>330</v>
      </c>
    </row>
    <row r="24" customFormat="false" ht="15" hidden="false" customHeight="false" outlineLevel="0" collapsed="false">
      <c r="A24" s="2" t="s">
        <v>331</v>
      </c>
      <c r="B24" s="2" t="s">
        <v>332</v>
      </c>
      <c r="C24" s="15" t="s">
        <v>292</v>
      </c>
      <c r="D24" s="4" t="s">
        <v>333</v>
      </c>
    </row>
    <row r="25" customFormat="false" ht="15" hidden="false" customHeight="false" outlineLevel="0" collapsed="false">
      <c r="A25" s="6" t="s">
        <v>334</v>
      </c>
      <c r="B25" s="6" t="s">
        <v>332</v>
      </c>
      <c r="C25" s="14" t="s">
        <v>295</v>
      </c>
      <c r="D25" s="8" t="s">
        <v>335</v>
      </c>
    </row>
    <row r="26" customFormat="false" ht="15" hidden="false" customHeight="false" outlineLevel="0" collapsed="false">
      <c r="A26" s="2" t="s">
        <v>336</v>
      </c>
      <c r="B26" s="2" t="s">
        <v>337</v>
      </c>
      <c r="C26" s="15" t="s">
        <v>317</v>
      </c>
      <c r="D26" s="4" t="s">
        <v>338</v>
      </c>
    </row>
    <row r="27" customFormat="false" ht="15" hidden="false" customHeight="false" outlineLevel="0" collapsed="false">
      <c r="A27" s="6" t="s">
        <v>339</v>
      </c>
      <c r="B27" s="6" t="s">
        <v>337</v>
      </c>
      <c r="C27" s="14" t="s">
        <v>317</v>
      </c>
      <c r="D27" s="8" t="s">
        <v>340</v>
      </c>
    </row>
  </sheetData>
  <autoFilter ref="A3:D27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2026-08-21T00:54:32Z</dcterms:created>
  <dc:creator>openpyxl</dc:creator>
  <dc:description/>
  <dc:language>zh-CN</dc:language>
  <cp:lastModifiedBy/>
  <dcterms:modified xsi:type="dcterms:W3CDTF">2026-08-21T00:54:32Z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