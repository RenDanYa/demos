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题评分" sheetId="1" state="visible" r:id="rId1"/>
    <sheet xmlns:r="http://schemas.openxmlformats.org/officeDocument/2006/relationships" name="整改清单" sheetId="2" state="visible" r:id="rId2"/>
    <sheet xmlns:r="http://schemas.openxmlformats.org/officeDocument/2006/relationships" name="总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7F9FC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1F3864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34" customWidth="1" min="4" max="4"/>
    <col width="13" customWidth="1" min="5" max="5"/>
    <col width="44" customWidth="1" min="6" max="6"/>
    <col width="46" customWidth="1" min="7" max="7"/>
    <col width="6" customWidth="1" min="8" max="8"/>
  </cols>
  <sheetData>
    <row r="1" ht="22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难度</t>
        </is>
      </c>
      <c r="D1" s="1" t="inlineStr">
        <is>
          <t>题目</t>
        </is>
      </c>
      <c r="E1" s="1" t="inlineStr">
        <is>
          <t>完成状态</t>
        </is>
      </c>
      <c r="F1" s="1" t="inlineStr">
        <is>
          <t>我的结果与证据</t>
        </is>
      </c>
      <c r="G1" s="1" t="inlineStr">
        <is>
          <t>整改建议</t>
        </is>
      </c>
      <c r="H1" s="1" t="inlineStr">
        <is>
          <t>优先级</t>
        </is>
      </c>
    </row>
    <row r="2">
      <c r="A2" s="2" t="inlineStr">
        <is>
          <t>T01</t>
        </is>
      </c>
      <c r="B2" s="2" t="inlineStr">
        <is>
          <t>一·数据清洗</t>
        </is>
      </c>
      <c r="C2" s="2" t="inlineStr">
        <is>
          <t>★★</t>
        </is>
      </c>
      <c r="D2" s="2" t="inlineStr">
        <is>
          <t>找出完全重复的记录并删除</t>
        </is>
      </c>
      <c r="E2" s="3" t="inlineStr">
        <is>
          <t>✅ 完成</t>
        </is>
      </c>
      <c r="F2" s="2" t="inlineStr">
        <is>
          <t>208行→202行,删除6行完全重复行</t>
        </is>
      </c>
      <c r="G2" s="2" t="inlineStr">
        <is>
          <t>无。可补一句判断依据:以全部12列(或业务主键)为重复判据</t>
        </is>
      </c>
      <c r="H2" s="2" t="inlineStr"/>
    </row>
    <row r="3">
      <c r="A3" s="4" t="inlineStr">
        <is>
          <t>T02</t>
        </is>
      </c>
      <c r="B3" s="4" t="inlineStr">
        <is>
          <t>一·数据清洗</t>
        </is>
      </c>
      <c r="C3" s="4" t="inlineStr">
        <is>
          <t>★★</t>
        </is>
      </c>
      <c r="D3" s="4" t="inlineStr">
        <is>
          <t>订单编号重复但内容不同的记录有几组?如何处理?</t>
        </is>
      </c>
      <c r="E3" s="3" t="inlineStr">
        <is>
          <t>✅ 完成</t>
        </is>
      </c>
      <c r="F3" s="4" t="inlineStr">
        <is>
          <t>定位2组:DD-20260512-0102、DD-20260603-0126,均保留(Sheet1透视计数=4佐证)</t>
        </is>
      </c>
      <c r="G3" s="4" t="inlineStr">
        <is>
          <t>口述时补业务判断:编号重复可能是补录或系统重发,应与业务确认而非直接删</t>
        </is>
      </c>
      <c r="H3" s="4" t="inlineStr"/>
    </row>
    <row r="4">
      <c r="A4" s="2" t="inlineStr">
        <is>
          <t>T03</t>
        </is>
      </c>
      <c r="B4" s="2" t="inlineStr">
        <is>
          <t>一·数据清洗</t>
        </is>
      </c>
      <c r="C4" s="2" t="inlineStr">
        <is>
          <t>★★★</t>
        </is>
      </c>
      <c r="D4" s="2" t="inlineStr">
        <is>
          <t>文本型日期转换标准格式</t>
        </is>
      </c>
      <c r="E4" s="3" t="inlineStr">
        <is>
          <t>✅ 完成</t>
        </is>
      </c>
      <c r="F4" s="2" t="inlineStr">
        <is>
          <t>C列=TEXT(SUBSTITUTE(B,".","/"),"yyyy-mm-dd") + I列DATE(MID())双保险,25个文本日期全部转换成功</t>
        </is>
      </c>
      <c r="G4" s="2" t="inlineStr">
        <is>
          <t>无。C列返回文本型日期,I列才是真日期,透视分组用的是I列——面试讲清这个区别是加分项</t>
        </is>
      </c>
      <c r="H4" s="2" t="inlineStr"/>
    </row>
    <row r="5">
      <c r="A5" s="4" t="inlineStr">
        <is>
          <t>T04</t>
        </is>
      </c>
      <c r="B5" s="4" t="inlineStr">
        <is>
          <t>一·数据清洗</t>
        </is>
      </c>
      <c r="C5" s="4" t="inlineStr">
        <is>
          <t>★★★</t>
        </is>
      </c>
      <c r="D5" s="4" t="inlineStr">
        <is>
          <t>区域脏数据统一为标准五区域</t>
        </is>
      </c>
      <c r="E5" s="3" t="inlineStr">
        <is>
          <t>✅ 完成</t>
        </is>
      </c>
      <c r="F5" s="4" t="inlineStr">
        <is>
          <t>N列=SUBSTITUTE(TRIM(M),"区",""),结果恰好5区域:华东68/华北41/华南38/华中30/西南25,合计202</t>
        </is>
      </c>
      <c r="G5" s="4" t="inlineStr">
        <is>
          <t>无</t>
        </is>
      </c>
      <c r="H5" s="4" t="inlineStr"/>
    </row>
    <row r="6">
      <c r="A6" s="2" t="inlineStr">
        <is>
          <t>T05</t>
        </is>
      </c>
      <c r="B6" s="2" t="inlineStr">
        <is>
          <t>一·数据清洗</t>
        </is>
      </c>
      <c r="C6" s="2" t="inlineStr">
        <is>
          <t>★★★</t>
        </is>
      </c>
      <c r="D6" s="2" t="inlineStr">
        <is>
          <t>数量列文本转数值+空值处理</t>
        </is>
      </c>
      <c r="E6" s="3" t="inlineStr">
        <is>
          <t>✅ 完成(亮点)</t>
        </is>
      </c>
      <c r="F6" s="2" t="inlineStr">
        <is>
          <t>S列=IF(ISBLANK(R),U/Q,VALUE(R));20个文本数量转数值</t>
        </is>
      </c>
      <c r="G6" s="2" t="inlineStr">
        <is>
          <t>亮点保留:空数量用金额÷单价回推是合理插补,面试主动讲这个策略</t>
        </is>
      </c>
      <c r="H6" s="2" t="inlineStr"/>
    </row>
    <row r="7">
      <c r="A7" s="4" t="inlineStr">
        <is>
          <t>T06</t>
        </is>
      </c>
      <c r="B7" s="4" t="inlineStr">
        <is>
          <t>一·数据清洗</t>
        </is>
      </c>
      <c r="C7" s="4" t="inlineStr">
        <is>
          <t>★★★</t>
        </is>
      </c>
      <c r="D7" s="4" t="inlineStr">
        <is>
          <t>¥格式文本金额提取为纯数值</t>
        </is>
      </c>
      <c r="E7" s="3" t="inlineStr">
        <is>
          <t>✅ 完成</t>
        </is>
      </c>
      <c r="F7" s="4" t="inlineStr">
        <is>
          <t>V列嵌套SUBSTITUTE去¥和千分位+VALUE,15个文本金额全部转换</t>
        </is>
      </c>
      <c r="G7" s="4" t="inlineStr">
        <is>
          <t>无</t>
        </is>
      </c>
      <c r="H7" s="4" t="inlineStr"/>
    </row>
    <row r="8">
      <c r="A8" s="2" t="inlineStr">
        <is>
          <t>T07</t>
        </is>
      </c>
      <c r="B8" s="2" t="inlineStr">
        <is>
          <t>一·数据清洗</t>
        </is>
      </c>
      <c r="C8" s="2" t="inlineStr">
        <is>
          <t>★★★</t>
        </is>
      </c>
      <c r="D8" s="2" t="inlineStr">
        <is>
          <t>校验金额=单价×数量,修正不一致</t>
        </is>
      </c>
      <c r="E8" s="3" t="inlineStr">
        <is>
          <t>✅ 完成</t>
        </is>
      </c>
      <c r="F8" s="2" t="inlineStr">
        <is>
          <t>V列=IF(Q*S=VALUE(SUBSTITUTE(U,"¥","")),...,Q*S),实测清洗后0行不一致(原4行已修正)</t>
        </is>
      </c>
      <c r="G8" s="2" t="inlineStr">
        <is>
          <t>无</t>
        </is>
      </c>
      <c r="H8" s="2" t="inlineStr"/>
    </row>
    <row r="9">
      <c r="A9" s="4" t="inlineStr">
        <is>
          <t>T08</t>
        </is>
      </c>
      <c r="B9" s="4" t="inlineStr">
        <is>
          <t>一·数据清洗</t>
        </is>
      </c>
      <c r="C9" s="4" t="inlineStr">
        <is>
          <t>★★★★</t>
        </is>
      </c>
      <c r="D9" s="4" t="inlineStr">
        <is>
          <t>客户ID与名称不匹配的行,以哪个为准</t>
        </is>
      </c>
      <c r="E9" s="3" t="inlineStr">
        <is>
          <t>✅ 完成</t>
        </is>
      </c>
      <c r="F9" s="4" t="inlineStr">
        <is>
          <t>E列VLOOKUP正向+G列INDEX/MATCH反向双向比对,定位R76(KH003/厦门鹭岛文创)、R99(KH012/武汉长江实业)</t>
        </is>
      </c>
      <c r="G9" s="4" t="inlineStr">
        <is>
          <t>口述补结论:ID是主键应为准,名称反查结果(KH018/KH007)即为修正值</t>
        </is>
      </c>
      <c r="H9" s="4" t="inlineStr"/>
    </row>
    <row r="10">
      <c r="A10" s="2" t="inlineStr">
        <is>
          <t>T09</t>
        </is>
      </c>
      <c r="B10" s="2" t="inlineStr">
        <is>
          <t>二·查找引用</t>
        </is>
      </c>
      <c r="C10" s="2" t="inlineStr">
        <is>
          <t>★★</t>
        </is>
      </c>
      <c r="D10" s="2" t="inlineStr">
        <is>
          <t>VLOOKUP匹配客户等级(精确匹配)</t>
        </is>
      </c>
      <c r="E10" s="3" t="inlineStr">
        <is>
          <t>✅ 完成</t>
        </is>
      </c>
      <c r="F10" s="2" t="inlineStr">
        <is>
          <t>K列=VLOOKUP(D,客户信息表!A$3:H$23,5,0),行号锁定正确,全列0错误</t>
        </is>
      </c>
      <c r="G10" s="2" t="inlineStr">
        <is>
          <t>无</t>
        </is>
      </c>
      <c r="H10" s="2" t="inlineStr"/>
    </row>
    <row r="11">
      <c r="A11" s="4" t="inlineStr">
        <is>
          <t>T10</t>
        </is>
      </c>
      <c r="B11" s="4" t="inlineStr">
        <is>
          <t>二·查找引用</t>
        </is>
      </c>
      <c r="C11" s="4" t="inlineStr">
        <is>
          <t>★★★</t>
        </is>
      </c>
      <c r="D11" s="4" t="inlineStr">
        <is>
          <t>按数量近似匹配折扣率</t>
        </is>
      </c>
      <c r="E11" s="3" t="inlineStr">
        <is>
          <t>✅ 完成</t>
        </is>
      </c>
      <c r="F11" s="4" t="inlineStr">
        <is>
          <t>T列=VLOOKUP(S,折扣阶梯!$A$3:$C$7,2,TRUE),202行0错误</t>
        </is>
      </c>
      <c r="G11" s="4" t="inlineStr">
        <is>
          <t>口述补原理:近似匹配找"≤查找值的最大值",阶梯表升序排列故不会错配</t>
        </is>
      </c>
      <c r="H11" s="4" t="inlineStr"/>
    </row>
    <row r="12">
      <c r="A12" s="2" t="inlineStr">
        <is>
          <t>T11</t>
        </is>
      </c>
      <c r="B12" s="2" t="inlineStr">
        <is>
          <t>二·查找引用</t>
        </is>
      </c>
      <c r="C12" s="2" t="inlineStr">
        <is>
          <t>★★★</t>
        </is>
      </c>
      <c r="D12" s="2" t="inlineStr">
        <is>
          <t>从客户名称反查客户ID</t>
        </is>
      </c>
      <c r="E12" s="3" t="inlineStr">
        <is>
          <t>✅ 完成</t>
        </is>
      </c>
      <c r="F12" s="2" t="inlineStr">
        <is>
          <t>G列=INDEX(客户ID列,MATCH(F,名称列,0))</t>
        </is>
      </c>
      <c r="G12" s="2" t="inlineStr">
        <is>
          <t>口述补:VLOOKUP只能从左往右查,反查必须INDEX+MATCH或XLOOKUP</t>
        </is>
      </c>
      <c r="H12" s="2" t="inlineStr"/>
    </row>
    <row r="13">
      <c r="A13" s="4" t="inlineStr">
        <is>
          <t>T12</t>
        </is>
      </c>
      <c r="B13" s="4" t="inlineStr">
        <is>
          <t>二·查找引用</t>
        </is>
      </c>
      <c r="C13" s="4" t="inlineStr">
        <is>
          <t>★★★★</t>
        </is>
      </c>
      <c r="D13" s="4" t="inlineStr">
        <is>
          <t>多条件查找:华东+A等级第一笔订单金额</t>
        </is>
      </c>
      <c r="E13" s="5" t="inlineStr">
        <is>
          <t>❌ 未完成</t>
        </is>
      </c>
      <c r="F13" s="4" t="inlineStr">
        <is>
          <t>全簿无多条件查找公式</t>
        </is>
      </c>
      <c r="G13" s="4" t="inlineStr">
        <is>
          <t>标准答案:2,598元(DD-20260121-0011)。方法=SUMIFS(金额,区域,"华东",等级,"A",日期,MIN(IF(...)))或数组INDEX+MATCH;面试至少掌握SUMIFS和XLOOKUP串联两种</t>
        </is>
      </c>
      <c r="H13" s="4" t="inlineStr">
        <is>
          <t>⭐⭐</t>
        </is>
      </c>
    </row>
    <row r="14">
      <c r="A14" s="2" t="inlineStr">
        <is>
          <t>T13</t>
        </is>
      </c>
      <c r="B14" s="2" t="inlineStr">
        <is>
          <t>二·查找引用</t>
        </is>
      </c>
      <c r="C14" s="2" t="inlineStr">
        <is>
          <t>★★</t>
        </is>
      </c>
      <c r="D14" s="2" t="inlineStr">
        <is>
          <t>IFERROR包裹查找公式</t>
        </is>
      </c>
      <c r="E14" s="5" t="inlineStr">
        <is>
          <t>❌ 未完成</t>
        </is>
      </c>
      <c r="F14" s="2" t="inlineStr">
        <is>
          <t>全簿IFERROR使用次数=0</t>
        </is>
      </c>
      <c r="G14" s="2">
        <f>IFERROR(VLOOKUP(...),"待补充"),10秒即可补齐,属必送分题</f>
        <v/>
      </c>
      <c r="H14" s="2" t="inlineStr">
        <is>
          <t>⭐⭐</t>
        </is>
      </c>
    </row>
    <row r="15">
      <c r="A15" s="4" t="inlineStr">
        <is>
          <t>T14</t>
        </is>
      </c>
      <c r="B15" s="4" t="inlineStr">
        <is>
          <t>二·查找引用</t>
        </is>
      </c>
      <c r="C15" s="4" t="inlineStr">
        <is>
          <t>★★</t>
        </is>
      </c>
      <c r="D15" s="4" t="inlineStr">
        <is>
          <t>从订单编号提取日期和流水号</t>
        </is>
      </c>
      <c r="E15" s="3" t="inlineStr">
        <is>
          <t>✅ 完成</t>
        </is>
      </c>
      <c r="F15" s="4" t="inlineStr">
        <is>
          <t>I列=DATE(MID(A,4,4),MID(A,8,2),MID(A,10,2)),J列=RIGHT(A,4)</t>
        </is>
      </c>
      <c r="G15" s="4" t="inlineStr">
        <is>
          <t>无</t>
        </is>
      </c>
      <c r="H15" s="4" t="inlineStr"/>
    </row>
    <row r="16">
      <c r="A16" s="2" t="inlineStr">
        <is>
          <t>T15</t>
        </is>
      </c>
      <c r="B16" s="2" t="inlineStr">
        <is>
          <t>二·查找引用</t>
        </is>
      </c>
      <c r="C16" s="2" t="inlineStr">
        <is>
          <t>★★★★</t>
        </is>
      </c>
      <c r="D16" s="2" t="inlineStr">
        <is>
          <t>应收金额=金额×折扣率(注意空数量)</t>
        </is>
      </c>
      <c r="E16" s="3" t="inlineStr">
        <is>
          <t>✅ 完成</t>
        </is>
      </c>
      <c r="F16" s="2" t="inlineStr">
        <is>
          <t>X列=V*T,空数量行经S列插补后无#VALUE错误</t>
        </is>
      </c>
      <c r="G16" s="2" t="inlineStr">
        <is>
          <t>无</t>
        </is>
      </c>
      <c r="H16" s="2" t="inlineStr"/>
    </row>
    <row r="17">
      <c r="A17" s="4" t="inlineStr">
        <is>
          <t>T16</t>
        </is>
      </c>
      <c r="B17" s="4" t="inlineStr">
        <is>
          <t>三·统计计算</t>
        </is>
      </c>
      <c r="C17" s="4" t="inlineStr">
        <is>
          <t>★★</t>
        </is>
      </c>
      <c r="D17" s="4" t="inlineStr">
        <is>
          <t>华东Q2已完成订单总金额(SUMIFS)</t>
        </is>
      </c>
      <c r="E17" s="5" t="inlineStr">
        <is>
          <t>❌ 未完成(透视绕过)</t>
        </is>
      </c>
      <c r="F17" s="4" t="inlineStr">
        <is>
          <t>无SUMIFS公式,靠透视表过滤得到</t>
        </is>
      </c>
      <c r="G17" s="4" t="inlineStr">
        <is>
          <t>标准答案:244,112元/19笔。=SUMIFS(V列,N列,"华东",W列,"已完成",I列,"&gt;=2026-4-1",I列,"&lt;=2026-6-30")。SUMIFS家族是机试必考,必须补</t>
        </is>
      </c>
      <c r="H17" s="4" t="inlineStr">
        <is>
          <t>⭐⭐⭐</t>
        </is>
      </c>
    </row>
    <row r="18">
      <c r="A18" s="2" t="inlineStr">
        <is>
          <t>T17</t>
        </is>
      </c>
      <c r="B18" s="2" t="inlineStr">
        <is>
          <t>三·统计计算</t>
        </is>
      </c>
      <c r="C18" s="2" t="inlineStr">
        <is>
          <t>★★</t>
        </is>
      </c>
      <c r="D18" s="2" t="inlineStr">
        <is>
          <t>各订单状态笔数与金额占比</t>
        </is>
      </c>
      <c r="E18" s="3" t="inlineStr">
        <is>
          <t>✅ 完成(透视)</t>
        </is>
      </c>
      <c r="F18" s="2" t="inlineStr">
        <is>
          <t>统计计算表A3:C9:待付款24/已发货47/已取消19/已完成112,金额合计2,981,327</t>
        </is>
      </c>
      <c r="G18" s="2" t="inlineStr">
        <is>
          <t>透视口径含已取消。若按你后文的"排除已取消"口径应为2,689,815;两种口径都对,但要能说清为什么</t>
        </is>
      </c>
      <c r="H18" s="2" t="inlineStr"/>
    </row>
    <row r="19">
      <c r="A19" s="4" t="inlineStr">
        <is>
          <t>T18</t>
        </is>
      </c>
      <c r="B19" s="4" t="inlineStr">
        <is>
          <t>三·统计计算</t>
        </is>
      </c>
      <c r="C19" s="4" t="inlineStr">
        <is>
          <t>★★★</t>
        </is>
      </c>
      <c r="D19" s="4" t="inlineStr">
        <is>
          <t>各销售员排除已取消的平均单笔</t>
        </is>
      </c>
      <c r="E19" s="3" t="inlineStr">
        <is>
          <t>✅ 完成(透视)</t>
        </is>
      </c>
      <c r="F19" s="4" t="inlineStr">
        <is>
          <t>A19:B28:陈静17359/王强19084/张伟17490/孙悦15898/赵磊13805/李娜12537/杨帆11349/刘洋8105,总平均14,698</t>
        </is>
      </c>
      <c r="G19" s="4" t="inlineStr">
        <is>
          <t>透视筛选已实现排除;面试若被点名要公式:=AVERAGEIFS(V列,L列,销售员,W列,"&lt;&gt;已取消")</t>
        </is>
      </c>
      <c r="H19" s="4" t="inlineStr"/>
    </row>
    <row r="20">
      <c r="A20" s="2" t="inlineStr">
        <is>
          <t>T19</t>
        </is>
      </c>
      <c r="B20" s="2" t="inlineStr">
        <is>
          <t>三·统计计算</t>
        </is>
      </c>
      <c r="C20" s="2" t="inlineStr">
        <is>
          <t>★★★</t>
        </is>
      </c>
      <c r="D20" s="2" t="inlineStr">
        <is>
          <t>金额Top5订单(注意并列)</t>
        </is>
      </c>
      <c r="E20" s="6" t="inlineStr">
        <is>
          <t>⚠️ 完成但有bug</t>
        </is>
      </c>
      <c r="F20" s="2" t="inlineStr">
        <is>
          <t>AA列RANK.EQ思路正确,但范围V3:V204未加$,下拉时窗口滑动,实测202行中103行排名错误</t>
        </is>
      </c>
      <c r="G20" s="2" t="inlineStr">
        <is>
          <t>改=RANK.EQ(V3,$V$2:$V$203,0)。正确Top5:74,087/68,388/68,388/62,689/56,990;其中68,388两笔并列(DD-20260720-0166与DD-20260505-0089),题目埋的并列陷阱</t>
        </is>
      </c>
      <c r="H20" s="2" t="inlineStr">
        <is>
          <t>⭐⭐⭐</t>
        </is>
      </c>
    </row>
    <row r="21">
      <c r="A21" s="4" t="inlineStr">
        <is>
          <t>T20</t>
        </is>
      </c>
      <c r="B21" s="4" t="inlineStr">
        <is>
          <t>三·统计计算</t>
        </is>
      </c>
      <c r="C21" s="4" t="inlineStr">
        <is>
          <t>★★★</t>
        </is>
      </c>
      <c r="D21" s="4" t="inlineStr">
        <is>
          <t>区域目标完成率+未达标标红</t>
        </is>
      </c>
      <c r="E21" s="3" t="inlineStr">
        <is>
          <t>✅ 完成(全场最佳)</t>
        </is>
      </c>
      <c r="F21" s="4" t="inlineStr">
        <is>
          <t>销售目标R26:J31完成率矩阵,COLUMN()动态列号技巧,B26:B31/C26:J31条件格式&lt;100%红色</t>
        </is>
      </c>
      <c r="G21" s="4" t="inlineStr">
        <is>
          <t>无。华北88.7%/华中80.3%整体未达标,华南2月0%——解读结论可提前准备好</t>
        </is>
      </c>
      <c r="H21" s="4" t="inlineStr"/>
    </row>
    <row r="22">
      <c r="A22" s="2" t="inlineStr">
        <is>
          <t>T21</t>
        </is>
      </c>
      <c r="B22" s="2" t="inlineStr">
        <is>
          <t>三·统计计算</t>
        </is>
      </c>
      <c r="C22" s="2" t="inlineStr">
        <is>
          <t>★★★★</t>
        </is>
      </c>
      <c r="D22" s="2" t="inlineStr">
        <is>
          <t>订单毛利率=(应收−成本×数量)/应收</t>
        </is>
      </c>
      <c r="E22" s="3" t="inlineStr">
        <is>
          <t>✅ 完成</t>
        </is>
      </c>
      <c r="F22" s="2" t="inlineStr">
        <is>
          <t>Y列XLOOKUP匹配成本+Z列毛利率公式,202行0错误</t>
        </is>
      </c>
      <c r="G22" s="2" t="inlineStr">
        <is>
          <t>无</t>
        </is>
      </c>
      <c r="H22" s="2" t="inlineStr"/>
    </row>
    <row r="23">
      <c r="A23" s="4" t="inlineStr">
        <is>
          <t>T22</t>
        </is>
      </c>
      <c r="B23" s="4" t="inlineStr">
        <is>
          <t>四·透视与图表</t>
        </is>
      </c>
      <c r="C23" s="4" t="inlineStr">
        <is>
          <t>★★</t>
        </is>
      </c>
      <c r="D23" s="4" t="inlineStr">
        <is>
          <t>区域×月份透视,值显示"占总计%"</t>
        </is>
      </c>
      <c r="E23" s="7" t="inlineStr">
        <is>
          <t>⚠️ 部分完成</t>
        </is>
      </c>
      <c r="F23" s="4" t="inlineStr">
        <is>
          <t>131列大透视矩阵正确(日期按月分组),数据与Sheet5一致</t>
        </is>
      </c>
      <c r="G23" s="4" t="inlineStr">
        <is>
          <t>最后一步没做:右键任意值→值显示方式→占总计的百分比。1分钟补齐</t>
        </is>
      </c>
      <c r="H23" s="4" t="inlineStr">
        <is>
          <t>⭐</t>
        </is>
      </c>
    </row>
    <row r="24">
      <c r="A24" s="2" t="inlineStr">
        <is>
          <t>T23</t>
        </is>
      </c>
      <c r="B24" s="2" t="inlineStr">
        <is>
          <t>四·透视与图表</t>
        </is>
      </c>
      <c r="C24" s="2" t="inlineStr">
        <is>
          <t>★★★</t>
        </is>
      </c>
      <c r="D24" s="2" t="inlineStr">
        <is>
          <t>客户等级×产品类别透视+毛利率计算字段</t>
        </is>
      </c>
      <c r="E24" s="5" t="inlineStr">
        <is>
          <t>❌ 未完成</t>
        </is>
      </c>
      <c r="F24" s="2" t="inlineStr">
        <is>
          <t>无相关透视</t>
        </is>
      </c>
      <c r="G24" s="2" t="inlineStr">
        <is>
          <t>透视表→分析→字段、项目和集→计算字段,公式=毛利率字段需先在源表补毛利额列=(X−Y×S);计算字段是对"和"再计算,不能对"比率"求和,这是本题考点</t>
        </is>
      </c>
      <c r="H24" s="2" t="inlineStr">
        <is>
          <t>⭐⭐</t>
        </is>
      </c>
    </row>
    <row r="25">
      <c r="A25" s="4" t="inlineStr">
        <is>
          <t>T24</t>
        </is>
      </c>
      <c r="B25" s="4" t="inlineStr">
        <is>
          <t>四·透视与图表</t>
        </is>
      </c>
      <c r="C25" s="4" t="inlineStr">
        <is>
          <t>★★★</t>
        </is>
      </c>
      <c r="D25" s="4" t="inlineStr">
        <is>
          <t>月度柱形图+环比折线(次坐标轴)</t>
        </is>
      </c>
      <c r="E25" s="7" t="inlineStr">
        <is>
          <t>⚠️ 部分完成</t>
        </is>
      </c>
      <c r="F25" s="4" t="inlineStr">
        <is>
          <t>Sheet5已有月度柱形图(B4:B11),C列环比增长率数据已备好</t>
        </is>
      </c>
      <c r="G25" s="4" t="inlineStr">
        <is>
          <t>缺折线:选中图表→添加数据系列选C列→右键该系列→设置数据系列格式→次坐标轴→图表类型改折线。就差最后两步</t>
        </is>
      </c>
      <c r="H25" s="4" t="inlineStr">
        <is>
          <t>⭐⭐</t>
        </is>
      </c>
    </row>
    <row r="26">
      <c r="A26" s="2" t="inlineStr">
        <is>
          <t>T25</t>
        </is>
      </c>
      <c r="B26" s="2" t="inlineStr">
        <is>
          <t>四·透视与图表</t>
        </is>
      </c>
      <c r="C26" s="2" t="inlineStr">
        <is>
          <t>★★</t>
        </is>
      </c>
      <c r="D26" s="2" t="inlineStr">
        <is>
          <t>各区域目标vs实际对比图</t>
        </is>
      </c>
      <c r="E26" s="6" t="inlineStr">
        <is>
          <t>⚠️ 部分完成</t>
        </is>
      </c>
      <c r="F26" s="2" t="inlineStr">
        <is>
          <t>销售目标R35:40已搭好实际/目标数据块(VLOOKUP引用)</t>
        </is>
      </c>
      <c r="G26" s="2" t="inlineStr">
        <is>
          <t>两个问题:①只取了每月一区(R36:R40各取一个月),应做全期合计或分月;②未生成图表。补:选A35:C40→插入簇状柱形图即完成</t>
        </is>
      </c>
      <c r="H26" s="2" t="inlineStr">
        <is>
          <t>⭐</t>
        </is>
      </c>
    </row>
    <row r="27">
      <c r="A27" s="4" t="inlineStr">
        <is>
          <t>T26</t>
        </is>
      </c>
      <c r="B27" s="4" t="inlineStr">
        <is>
          <t>五·综合问答</t>
        </is>
      </c>
      <c r="C27" s="4" t="inlineStr">
        <is>
          <t>★★★</t>
        </is>
      </c>
      <c r="D27" s="4" t="inlineStr">
        <is>
          <t>10万行数据如何快速定位异常值(口述)</t>
        </is>
      </c>
      <c r="E27" s="5" t="inlineStr">
        <is>
          <t>❌ 未作答</t>
        </is>
      </c>
      <c r="F27" s="4" t="inlineStr">
        <is>
          <t>—</t>
        </is>
      </c>
      <c r="G27" s="4" t="inlineStr">
        <is>
          <t>答案要点:①描述统计(均值±3σ/四分位IQR)②条件格式色阶+突出显示规则③排序看两端④数据透视分组计数找离群桶⑤Power Query批量规则校验</t>
        </is>
      </c>
      <c r="H27" s="4" t="inlineStr">
        <is>
          <t>⭐</t>
        </is>
      </c>
    </row>
    <row r="28">
      <c r="A28" s="2" t="inlineStr">
        <is>
          <t>T27</t>
        </is>
      </c>
      <c r="B28" s="2" t="inlineStr">
        <is>
          <t>五·综合问答</t>
        </is>
      </c>
      <c r="C28" s="2" t="inlineStr">
        <is>
          <t>★★★</t>
        </is>
      </c>
      <c r="D28" s="2" t="inlineStr">
        <is>
          <t>VLOOKUP与INDEX+MATCH区别(口述)</t>
        </is>
      </c>
      <c r="E28" s="5" t="inlineStr">
        <is>
          <t>❌ 未作答</t>
        </is>
      </c>
      <c r="F28" s="2" t="inlineStr">
        <is>
          <t>—</t>
        </is>
      </c>
      <c r="G28" s="2" t="inlineStr">
        <is>
          <t>答案要点:VLOOKUP只能右查、插入列会断、大数据量慢;INDEX+MATCH任意方向、列删除不影响、内存开销小。必须用后者的场景:反向查找/宽表/动态列引用</t>
        </is>
      </c>
      <c r="H28" s="2" t="inlineStr">
        <is>
          <t>⭐</t>
        </is>
      </c>
    </row>
    <row r="29">
      <c r="A29" s="4" t="inlineStr">
        <is>
          <t>T28</t>
        </is>
      </c>
      <c r="B29" s="4" t="inlineStr">
        <is>
          <t>五·综合问答</t>
        </is>
      </c>
      <c r="C29" s="4" t="inlineStr">
        <is>
          <t>★★★★</t>
        </is>
      </c>
      <c r="D29" s="4" t="inlineStr">
        <is>
          <t>每周销售监控看板设计(口述)</t>
        </is>
      </c>
      <c r="E29" s="5" t="inlineStr">
        <is>
          <t>❌ 未作答</t>
        </is>
      </c>
      <c r="F29" s="4" t="inlineStr">
        <is>
          <t>—</t>
        </is>
      </c>
      <c r="G29" s="4" t="inlineStr">
        <is>
          <t>答案要点:指标分层(结果指标GMV/完成率→过程指标订单数/客单价→预警指标取消率/逾期);半自动更新=Ctrl+T智能表格+切片器联动+透视刷新(或Power Query一键刷新);你T20的完成率矩阵就是现成素材</t>
        </is>
      </c>
      <c r="H29" s="4" t="inlineStr">
        <is>
          <t>⭐⭐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62" customWidth="1" min="4" max="4"/>
    <col width="9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整改项</t>
        </is>
      </c>
      <c r="C1" s="1" t="inlineStr">
        <is>
          <t>位置</t>
        </is>
      </c>
      <c r="D1" s="1" t="inlineStr">
        <is>
          <t>具体操作</t>
        </is>
      </c>
      <c r="E1" s="1" t="inlineStr">
        <is>
          <t>预计耗时</t>
        </is>
      </c>
      <c r="F1" s="1" t="inlineStr">
        <is>
          <t>优先级</t>
        </is>
      </c>
    </row>
    <row r="2">
      <c r="A2" s="2" t="n">
        <v>1</v>
      </c>
      <c r="B2" s="2" t="inlineStr">
        <is>
          <t>RANK范围加绝对引用</t>
        </is>
      </c>
      <c r="C2" s="2" t="inlineStr">
        <is>
          <t>订单表_原始 AA列</t>
        </is>
      </c>
      <c r="D2" s="2">
        <f>RANK.EQ(V3,$V$2:$V$203,0) 下拉,修正103行错误排名</f>
        <v/>
      </c>
      <c r="E2" s="2" t="inlineStr">
        <is>
          <t>2分钟</t>
        </is>
      </c>
      <c r="F2" s="2" t="inlineStr">
        <is>
          <t>⭐⭐⭐</t>
        </is>
      </c>
    </row>
    <row r="3">
      <c r="A3" s="4" t="n">
        <v>2</v>
      </c>
      <c r="B3" s="4" t="inlineStr">
        <is>
          <t>补做T16:SUMIFS多条件汇总</t>
        </is>
      </c>
      <c r="C3" s="4" t="inlineStr">
        <is>
          <t>新建汇总表</t>
        </is>
      </c>
      <c r="D3" s="4">
        <f>SUMIFS(订单表_原始!$V$2:$V$203,订单表_原始!$N$2:$N$203,"华东",订单表_原始!$W$2:$W$203,"已完成",订单表_原始!$I$2:$I$203,"&gt;=2026-4-1",订单表_原始!$I$2:$I$203,"&lt;=2026-6-30") 验证=244,112</f>
        <v/>
      </c>
      <c r="E3" s="4" t="inlineStr">
        <is>
          <t>10分钟</t>
        </is>
      </c>
      <c r="F3" s="4" t="inlineStr">
        <is>
          <t>⭐⭐⭐</t>
        </is>
      </c>
    </row>
    <row r="4">
      <c r="A4" s="2" t="n">
        <v>3</v>
      </c>
      <c r="B4" s="2" t="inlineStr">
        <is>
          <t>补做T13:IFERROR容错</t>
        </is>
      </c>
      <c r="C4" s="2" t="inlineStr">
        <is>
          <t>任意查找列</t>
        </is>
      </c>
      <c r="D4" s="2" t="inlineStr">
        <is>
          <t>给E/G/K/T/X列公式套=IFERROR(...,"待补充")</t>
        </is>
      </c>
      <c r="E4" s="2" t="inlineStr">
        <is>
          <t>5分钟</t>
        </is>
      </c>
      <c r="F4" s="2" t="inlineStr">
        <is>
          <t>⭐⭐</t>
        </is>
      </c>
    </row>
    <row r="5">
      <c r="A5" s="4" t="n">
        <v>4</v>
      </c>
      <c r="B5" s="4" t="inlineStr">
        <is>
          <t>补做T12:多条件查找</t>
        </is>
      </c>
      <c r="C5" s="4" t="inlineStr">
        <is>
          <t>新建练习区</t>
        </is>
      </c>
      <c r="D5" s="4" t="inlineStr">
        <is>
          <t>XLOOKUP串联或SUMIFS或数组INDEX+MATCH,验证=2,598</t>
        </is>
      </c>
      <c r="E5" s="4" t="inlineStr">
        <is>
          <t>15分钟</t>
        </is>
      </c>
      <c r="F5" s="4" t="inlineStr">
        <is>
          <t>⭐⭐</t>
        </is>
      </c>
    </row>
    <row r="6">
      <c r="A6" s="2" t="n">
        <v>5</v>
      </c>
      <c r="B6" s="2" t="inlineStr">
        <is>
          <t>补做T23:透视计算字段</t>
        </is>
      </c>
      <c r="C6" s="2" t="inlineStr">
        <is>
          <t>新建透视</t>
        </is>
      </c>
      <c r="D6" s="2" t="inlineStr">
        <is>
          <t>客户等级×产品类别,计算字段毛利率;注意计算字段只能对和再计算</t>
        </is>
      </c>
      <c r="E6" s="2" t="inlineStr">
        <is>
          <t>15分钟</t>
        </is>
      </c>
      <c r="F6" s="2" t="inlineStr">
        <is>
          <t>⭐⭐</t>
        </is>
      </c>
    </row>
    <row r="7">
      <c r="A7" s="4" t="n">
        <v>6</v>
      </c>
      <c r="B7" s="4" t="inlineStr">
        <is>
          <t>完成T24:组合图表</t>
        </is>
      </c>
      <c r="C7" s="4" t="inlineStr">
        <is>
          <t>Sheet5</t>
        </is>
      </c>
      <c r="D7" s="4" t="inlineStr">
        <is>
          <t>柱形图添加C列环比系列→次坐标轴→改折线图</t>
        </is>
      </c>
      <c r="E7" s="4" t="inlineStr">
        <is>
          <t>5分钟</t>
        </is>
      </c>
      <c r="F7" s="4" t="inlineStr">
        <is>
          <t>⭐⭐</t>
        </is>
      </c>
    </row>
    <row r="8">
      <c r="A8" s="2" t="n">
        <v>7</v>
      </c>
      <c r="B8" s="2" t="inlineStr">
        <is>
          <t>完成T25:目标vs实际图</t>
        </is>
      </c>
      <c r="C8" s="2" t="inlineStr">
        <is>
          <t>销售目标R35</t>
        </is>
      </c>
      <c r="D8" s="2" t="inlineStr">
        <is>
          <t>补全年合计,选区插入簇状柱形图</t>
        </is>
      </c>
      <c r="E8" s="2" t="inlineStr">
        <is>
          <t>10分钟</t>
        </is>
      </c>
      <c r="F8" s="2" t="inlineStr">
        <is>
          <t>⭐</t>
        </is>
      </c>
    </row>
    <row r="9">
      <c r="A9" s="4" t="n">
        <v>8</v>
      </c>
      <c r="B9" s="4" t="inlineStr">
        <is>
          <t>完成T22:值显示方式</t>
        </is>
      </c>
      <c r="C9" s="4" t="inlineStr">
        <is>
          <t>统计计算大透视</t>
        </is>
      </c>
      <c r="D9" s="4" t="inlineStr">
        <is>
          <t>右键值→值显示方式→总计的百分比</t>
        </is>
      </c>
      <c r="E9" s="4" t="inlineStr">
        <is>
          <t>1分钟</t>
        </is>
      </c>
      <c r="F9" s="4" t="inlineStr">
        <is>
          <t>⭐</t>
        </is>
      </c>
    </row>
    <row r="10">
      <c r="A10" s="2" t="n">
        <v>9</v>
      </c>
      <c r="B10" s="2" t="inlineStr">
        <is>
          <t>T17口径说明</t>
        </is>
      </c>
      <c r="C10" s="2" t="inlineStr">
        <is>
          <t>统计计算A3:C9</t>
        </is>
      </c>
      <c r="D10" s="2" t="inlineStr">
        <is>
          <t>口述准备:全口径2,981,327 vs 剔除取消2,689,815,何时用哪个</t>
        </is>
      </c>
      <c r="E10" s="2" t="inlineStr">
        <is>
          <t>口述</t>
        </is>
      </c>
      <c r="F10" s="2" t="inlineStr"/>
    </row>
    <row r="11">
      <c r="A11" s="4" t="n">
        <v>10</v>
      </c>
      <c r="B11" s="4" t="inlineStr">
        <is>
          <t>重命名工作表+清理残留</t>
        </is>
      </c>
      <c r="C11" s="4" t="inlineStr">
        <is>
          <t>Sheet1/3/5</t>
        </is>
      </c>
      <c r="D11" s="4" t="inlineStr">
        <is>
          <t>改为有意义名称(如"重复检查/草稿/月度图"),删除Sheet3的#VALUE!残留</t>
        </is>
      </c>
      <c r="E11" s="4" t="inlineStr">
        <is>
          <t>5分钟</t>
        </is>
      </c>
      <c r="F11" s="4" t="inlineStr"/>
    </row>
    <row r="12">
      <c r="A12" s="2" t="n">
        <v>11</v>
      </c>
      <c r="B12" s="2" t="inlineStr">
        <is>
          <t>口述题T26/T27/T28准备</t>
        </is>
      </c>
      <c r="C12" s="2" t="inlineStr">
        <is>
          <t>—</t>
        </is>
      </c>
      <c r="D12" s="2" t="inlineStr">
        <is>
          <t>按逐题评分表整改建议栏要点,每题口述1分钟</t>
        </is>
      </c>
      <c r="E12" s="2" t="inlineStr">
        <is>
          <t>30分钟</t>
        </is>
      </c>
      <c r="F12" s="2" t="inlineStr">
        <is>
          <t>⭐</t>
        </is>
      </c>
    </row>
    <row r="13">
      <c r="A13" s="4" t="n">
        <v>12</v>
      </c>
      <c r="B13" s="4" t="inlineStr">
        <is>
          <t>流程习惯:副本操作</t>
        </is>
      </c>
      <c r="C13" s="4" t="inlineStr">
        <is>
          <t>方法论</t>
        </is>
      </c>
      <c r="D13" s="4" t="inlineStr">
        <is>
          <t>面试话术:原始表保持只读,清洗在副本/或用Power Query留痕</t>
        </is>
      </c>
      <c r="E13" s="4" t="inlineStr">
        <is>
          <t>口述</t>
        </is>
      </c>
      <c r="F13" s="4" t="inlineStr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9" customWidth="1" min="4" max="4"/>
    <col width="7" customWidth="1" min="5" max="5"/>
    <col width="9" customWidth="1" min="6" max="6"/>
    <col width="50" customWidth="1" min="7" max="7"/>
  </cols>
  <sheetData>
    <row r="1">
      <c r="A1" s="1" t="inlineStr">
        <is>
          <t>模块</t>
        </is>
      </c>
      <c r="B1" s="1" t="inlineStr">
        <is>
          <t>题数</t>
        </is>
      </c>
      <c r="C1" s="1" t="inlineStr">
        <is>
          <t>完成</t>
        </is>
      </c>
      <c r="D1" s="1" t="inlineStr">
        <is>
          <t>部分完成</t>
        </is>
      </c>
      <c r="E1" s="1" t="inlineStr">
        <is>
          <t>未完成</t>
        </is>
      </c>
      <c r="F1" s="1" t="inlineStr">
        <is>
          <t>完成率</t>
        </is>
      </c>
      <c r="G1" s="1" t="inlineStr">
        <is>
          <t>评价</t>
        </is>
      </c>
    </row>
    <row r="2">
      <c r="A2" s="8" t="inlineStr">
        <is>
          <t>一·数据清洗</t>
        </is>
      </c>
      <c r="B2" s="9" t="n">
        <v>8</v>
      </c>
      <c r="C2" s="9" t="n">
        <v>8</v>
      </c>
      <c r="D2" s="9" t="n">
        <v>0</v>
      </c>
      <c r="E2" s="9" t="n">
        <v>0</v>
      </c>
      <c r="F2" s="9" t="inlineStr">
        <is>
          <t>100%</t>
        </is>
      </c>
      <c r="G2" s="9" t="inlineStr">
        <is>
          <t>最好的一块,架构专业,全簿2020条公式零错误</t>
        </is>
      </c>
    </row>
    <row r="3">
      <c r="A3" s="10" t="inlineStr">
        <is>
          <t>二·查找引用</t>
        </is>
      </c>
      <c r="B3" s="11" t="n">
        <v>7</v>
      </c>
      <c r="C3" s="11" t="n">
        <v>5</v>
      </c>
      <c r="D3" s="11" t="n">
        <v>0</v>
      </c>
      <c r="E3" s="11" t="n">
        <v>2</v>
      </c>
      <c r="F3" s="11" t="inlineStr">
        <is>
          <t>71%</t>
        </is>
      </c>
      <c r="G3" s="11" t="inlineStr">
        <is>
          <t>主干全会,缺多条件查找与容错</t>
        </is>
      </c>
    </row>
    <row r="4">
      <c r="A4" s="8" t="inlineStr">
        <is>
          <t>三·统计计算</t>
        </is>
      </c>
      <c r="B4" s="9" t="n">
        <v>6</v>
      </c>
      <c r="C4" s="9" t="n">
        <v>3</v>
      </c>
      <c r="D4" s="9" t="n">
        <v>1</v>
      </c>
      <c r="E4" s="9" t="n">
        <v>2</v>
      </c>
      <c r="F4" s="9" t="inlineStr">
        <is>
          <t>58%</t>
        </is>
      </c>
      <c r="G4" s="9" t="inlineStr">
        <is>
          <t>透视用得好,公式类(SUMIFS家族)全部回避</t>
        </is>
      </c>
    </row>
    <row r="5">
      <c r="A5" s="10" t="inlineStr">
        <is>
          <t>四·透视与图表</t>
        </is>
      </c>
      <c r="B5" s="11" t="n">
        <v>4</v>
      </c>
      <c r="C5" s="11" t="n">
        <v>0</v>
      </c>
      <c r="D5" s="11" t="n">
        <v>3</v>
      </c>
      <c r="E5" s="11" t="n">
        <v>1</v>
      </c>
      <c r="F5" s="11" t="inlineStr">
        <is>
          <t>38%</t>
        </is>
      </c>
      <c r="G5" s="11" t="inlineStr">
        <is>
          <t>最弱模块,矩阵都对但收尾步骤普遍缺失</t>
        </is>
      </c>
    </row>
    <row r="6">
      <c r="A6" s="8" t="inlineStr">
        <is>
          <t>五·综合问答</t>
        </is>
      </c>
      <c r="B6" s="9" t="n">
        <v>3</v>
      </c>
      <c r="C6" s="9" t="n">
        <v>0</v>
      </c>
      <c r="D6" s="9" t="n">
        <v>0</v>
      </c>
      <c r="E6" s="9" t="n">
        <v>3</v>
      </c>
      <c r="F6" s="9" t="inlineStr">
        <is>
          <t>0%</t>
        </is>
      </c>
      <c r="G6" s="9" t="inlineStr">
        <is>
          <t>未作答(口述题)</t>
        </is>
      </c>
    </row>
    <row r="7">
      <c r="A7" s="12" t="inlineStr">
        <is>
          <t>合计</t>
        </is>
      </c>
      <c r="B7" s="13" t="n">
        <v>28</v>
      </c>
      <c r="C7" s="13" t="n">
        <v>16</v>
      </c>
      <c r="D7" s="13" t="n">
        <v>4</v>
      </c>
      <c r="E7" s="13" t="n">
        <v>8</v>
      </c>
      <c r="F7" s="13" t="inlineStr">
        <is>
          <t>64%</t>
        </is>
      </c>
      <c r="G7" s="14" t="inlineStr">
        <is>
          <t>清洗与查找达中级数据岗水准;公式统计与图表是短板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2026-08-22T08:54:41Z</dcterms:created>
  <dcterms:modified xmlns:dcterms="http://purl.org/dc/terms/" xmlns:xsi="http://www.w3.org/2001/XMLSchema-instance" xsi:type="dcterms:W3CDTF">2026-08-22T08:54:41Z</dcterms:modified>
</cp:coreProperties>
</file>